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vlgari-PI\Desktop\"/>
    </mc:Choice>
  </mc:AlternateContent>
  <workbookProtection workbookAlgorithmName="SHA-512" workbookHashValue="bC9cn8otvOZbbMz+wZLqMO9XLt0WVrBT3XP21j0XFSTG8t/gNWzENMp6Y6pwpihu6uWdQkLr2ugCd3SzwtJ91A==" workbookSaltValue="xA2h15poiRkFP36KJbmUmw==" workbookSpinCount="100000" lockStructure="1"/>
  <bookViews>
    <workbookView xWindow="0" yWindow="0" windowWidth="28800" windowHeight="12330" tabRatio="694"/>
  </bookViews>
  <sheets>
    <sheet name="DS" sheetId="1" r:id="rId1"/>
    <sheet name="SC" sheetId="2" r:id="rId2"/>
    <sheet name="SMI" sheetId="3" r:id="rId3"/>
    <sheet name="HO" sheetId="8" r:id="rId4"/>
    <sheet name="MARKOM" sheetId="10" r:id="rId5"/>
    <sheet name="IN AND OUT" sheetId="12" r:id="rId6"/>
    <sheet name="TRAFFIC &amp; COMMISSION REPORT" sheetId="4" state="hidden" r:id="rId7"/>
    <sheet name="Commission" sheetId="5" state="hidden" r:id="rId8"/>
    <sheet name="SPPR _" sheetId="7" r:id="rId9"/>
    <sheet name="Sales Support" sheetId="11" r:id="rId10"/>
    <sheet name="Data" sheetId="9" r:id="rId11"/>
  </sheets>
  <externalReferences>
    <externalReference r:id="rId12"/>
    <externalReference r:id="rId13"/>
  </externalReferences>
  <definedNames>
    <definedName name="_AN859833">'[1]DAILY SALES DATA'!#REF!</definedName>
    <definedName name="_xlnm._FilterDatabase" localSheetId="0" hidden="1">DS!$A$1:$AJ$326</definedName>
    <definedName name="_xlnm._FilterDatabase" localSheetId="5" hidden="1">'IN AND OUT'!$A$7:$AG$32</definedName>
    <definedName name="_xlnm._FilterDatabase" localSheetId="9" hidden="1">'Sales Support'!$A$1:$C$108</definedName>
    <definedName name="Excel_BuiltIn_Print_Area" localSheetId="7">NA()</definedName>
    <definedName name="Excel_BuiltIn_Print_Area" localSheetId="8">NA()</definedName>
    <definedName name="Excel_BuiltIn_Print_Area" localSheetId="6">NA()</definedName>
    <definedName name="Excel_BuiltIn_Print_Area_2_1">NA()</definedName>
    <definedName name="Excel_BuiltIn_Print_Area_22_1">NA()</definedName>
    <definedName name="Excel_BuiltIn_Print_Area_30_1">NA()</definedName>
    <definedName name="Excel_BuiltIn_Print_Area_37_1">NA()</definedName>
    <definedName name="Excel_BuiltIn_Print_Area_39">NA()</definedName>
    <definedName name="Excel_BuiltIn_Print_Area_41">NA()</definedName>
    <definedName name="Excel_BuiltIn_Sheet_Title" localSheetId="7">"Individual Commission"</definedName>
    <definedName name="Excel_BuiltIn_Sheet_Title" localSheetId="0">"01"</definedName>
    <definedName name="Excel_BuiltIn_Sheet_Title" localSheetId="3">"01"</definedName>
    <definedName name="Excel_BuiltIn_Sheet_Title" localSheetId="5">"01"</definedName>
    <definedName name="Excel_BuiltIn_Sheet_Title" localSheetId="4">"01"</definedName>
    <definedName name="Excel_BuiltIn_Sheet_Title" localSheetId="2">"01"</definedName>
    <definedName name="Excel_BuiltIn_Sheet_Title" localSheetId="8">"SPPR _"</definedName>
    <definedName name="Excel_BuiltIn_Sheet_Title" localSheetId="6">"Traffic "</definedName>
    <definedName name="_xlnm.Print_Area" localSheetId="0">DS!$A$1:$AG$324</definedName>
    <definedName name="_xlnm.Print_Area" localSheetId="3">HO!$A$1:$AA$13</definedName>
    <definedName name="_xlnm.Print_Area" localSheetId="5">'IN AND OUT'!$A$1:$AG$32</definedName>
    <definedName name="_xlnm.Print_Area" localSheetId="4">MARKOM!$A$1:$AB$6</definedName>
    <definedName name="_xlnm.Print_Area" localSheetId="1">SC!$A$1:$X$9</definedName>
    <definedName name="_xlnm.Print_Area" localSheetId="2">SMI!$A$1:$T$6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5" l="1"/>
  <c r="AD74" i="2"/>
  <c r="AB74" i="2"/>
  <c r="AB72" i="2"/>
  <c r="W72" i="2"/>
  <c r="T72" i="2"/>
  <c r="AB189" i="1" l="1"/>
  <c r="AD71" i="2" l="1"/>
  <c r="AD190" i="1"/>
  <c r="DJ40" i="4"/>
  <c r="DH40" i="4"/>
  <c r="DG40" i="4"/>
  <c r="DF40" i="4"/>
  <c r="BR40" i="4"/>
  <c r="BP40" i="4"/>
  <c r="BO40" i="4"/>
  <c r="BN40" i="4"/>
  <c r="AR40" i="4"/>
  <c r="AP40" i="4"/>
  <c r="AO40" i="4"/>
  <c r="AN40" i="4"/>
  <c r="AB190" i="1"/>
  <c r="AD67" i="2"/>
  <c r="AD65" i="2"/>
  <c r="AB183" i="1"/>
  <c r="AD60" i="2" l="1"/>
  <c r="AD62" i="2"/>
  <c r="AD179" i="1"/>
  <c r="BR39" i="4"/>
  <c r="BP39" i="4"/>
  <c r="BO39" i="4"/>
  <c r="BN39" i="4"/>
  <c r="AB177" i="1"/>
  <c r="W177" i="1"/>
  <c r="S177" i="1"/>
  <c r="DJ39" i="4" l="1"/>
  <c r="DH39" i="4"/>
  <c r="DG39" i="4"/>
  <c r="DF39" i="4"/>
  <c r="AB174" i="1"/>
  <c r="W174" i="1"/>
  <c r="S174" i="1"/>
  <c r="AG39" i="4"/>
  <c r="AC39" i="4"/>
  <c r="AB39" i="4"/>
  <c r="AA39" i="4"/>
  <c r="S171" i="1"/>
  <c r="AB97" i="1"/>
  <c r="T66" i="2"/>
  <c r="W168" i="1"/>
  <c r="AB168" i="1" s="1"/>
  <c r="S168" i="1"/>
  <c r="BY38" i="4" l="1"/>
  <c r="AB165" i="1"/>
  <c r="S165" i="1"/>
  <c r="BZ38" i="4" s="1"/>
  <c r="P38" i="4"/>
  <c r="V162" i="1"/>
  <c r="S163" i="1"/>
  <c r="Q38" i="4" s="1"/>
  <c r="S162" i="1"/>
  <c r="S159" i="1" l="1"/>
  <c r="DR37" i="4"/>
  <c r="DQ37" i="4"/>
  <c r="W159" i="1"/>
  <c r="AB159" i="1" s="1"/>
  <c r="T62" i="2"/>
  <c r="DG37" i="4"/>
  <c r="DF37" i="4"/>
  <c r="S155" i="1"/>
  <c r="W155" i="1" s="1"/>
  <c r="AB155" i="1" s="1"/>
  <c r="CV37" i="4" l="1"/>
  <c r="CU37" i="4"/>
  <c r="W151" i="1"/>
  <c r="AB151" i="1" s="1"/>
  <c r="S151" i="1"/>
  <c r="AY36" i="4" l="1"/>
  <c r="S147" i="1"/>
  <c r="W147" i="1" s="1"/>
  <c r="AB147" i="1" s="1"/>
  <c r="T60" i="2"/>
  <c r="S144" i="1"/>
  <c r="AZ36" i="4" s="1"/>
  <c r="W144" i="1" l="1"/>
  <c r="AB144" i="1" s="1"/>
  <c r="CV36" i="4"/>
  <c r="CU36" i="4"/>
  <c r="W141" i="1"/>
  <c r="AB141" i="1" s="1"/>
  <c r="S141" i="1"/>
  <c r="Q36" i="4" l="1"/>
  <c r="P36" i="4"/>
  <c r="AD58" i="2" l="1"/>
  <c r="DG34" i="4"/>
  <c r="DF34" i="4"/>
  <c r="CV34" i="4"/>
  <c r="CU34" i="4"/>
  <c r="S54" i="2"/>
  <c r="AB53" i="2"/>
  <c r="AB52" i="2"/>
  <c r="AD51" i="2" l="1"/>
  <c r="AB51" i="2"/>
  <c r="CK33" i="4"/>
  <c r="CJ33" i="4"/>
  <c r="AB33" i="4"/>
  <c r="AA33" i="4"/>
  <c r="S51" i="2"/>
  <c r="AB128" i="1" l="1"/>
  <c r="AB122" i="1"/>
  <c r="AB44" i="2"/>
  <c r="AB43" i="2"/>
  <c r="AB41" i="2"/>
  <c r="AD40" i="2"/>
  <c r="AA32" i="4" l="1"/>
  <c r="CU32" i="4"/>
  <c r="CK32" i="4"/>
  <c r="CJ32" i="4"/>
  <c r="AB38" i="2"/>
  <c r="T38" i="2"/>
  <c r="AC38" i="2" s="1"/>
  <c r="S38" i="2"/>
  <c r="AB36" i="2"/>
  <c r="T36" i="2"/>
  <c r="S36" i="2" s="1"/>
  <c r="R116" i="1"/>
  <c r="S115" i="1" l="1"/>
  <c r="W111" i="1"/>
  <c r="AB111" i="1" s="1"/>
  <c r="S111" i="1"/>
  <c r="CV32" i="4" s="1"/>
  <c r="R115" i="1" l="1"/>
  <c r="AB32" i="4"/>
  <c r="V115" i="1"/>
  <c r="AB96" i="1"/>
  <c r="BZ31" i="4" l="1"/>
  <c r="BY31" i="4"/>
  <c r="S108" i="1"/>
  <c r="W108" i="1" s="1"/>
  <c r="AB108" i="1" s="1"/>
  <c r="AB35" i="2" l="1"/>
  <c r="T35" i="2"/>
  <c r="DF31" i="4"/>
  <c r="S106" i="1"/>
  <c r="DG31" i="4" s="1"/>
  <c r="S105" i="1"/>
  <c r="BO31" i="4"/>
  <c r="BN31" i="4"/>
  <c r="V102" i="1"/>
  <c r="S102" i="1"/>
  <c r="AZ31" i="4"/>
  <c r="AY31" i="4"/>
  <c r="V99" i="1"/>
  <c r="S99" i="1"/>
  <c r="BO30" i="4" l="1"/>
  <c r="BN30" i="4"/>
  <c r="AB30" i="4"/>
  <c r="AA30" i="4"/>
  <c r="CK30" i="4"/>
  <c r="CJ30" i="4"/>
  <c r="AA29" i="4" l="1"/>
  <c r="S87" i="1"/>
  <c r="AB29" i="4" s="1"/>
  <c r="T29" i="2"/>
  <c r="T28" i="2"/>
  <c r="W28" i="2" s="1"/>
  <c r="AB28" i="2" s="1"/>
  <c r="CK29" i="4"/>
  <c r="CJ29" i="4"/>
  <c r="W87" i="1" l="1"/>
  <c r="AB87" i="1" s="1"/>
  <c r="T26" i="2" l="1"/>
  <c r="W26" i="2" s="1"/>
  <c r="AB26" i="2" s="1"/>
  <c r="DF28" i="4"/>
  <c r="W81" i="1"/>
  <c r="AB81" i="1" s="1"/>
  <c r="S81" i="1"/>
  <c r="S78" i="1"/>
  <c r="W78" i="1" s="1"/>
  <c r="AB78" i="1" s="1"/>
  <c r="BN28" i="4"/>
  <c r="S75" i="1"/>
  <c r="BO28" i="4" s="1"/>
  <c r="DG28" i="4" l="1"/>
  <c r="W75" i="1"/>
  <c r="AB75" i="1" s="1"/>
  <c r="AB72" i="1"/>
  <c r="BZ27" i="4"/>
  <c r="BY27" i="4"/>
  <c r="CK27" i="4"/>
  <c r="CJ27" i="4"/>
  <c r="AB68" i="1"/>
  <c r="Q27" i="4"/>
  <c r="P27" i="4"/>
  <c r="AZ27" i="4"/>
  <c r="AY27" i="4"/>
  <c r="AB64" i="1"/>
  <c r="AB63" i="1"/>
  <c r="AB61" i="1"/>
  <c r="AY26" i="4" l="1"/>
  <c r="AB51" i="1"/>
  <c r="S54" i="1"/>
  <c r="S53" i="1"/>
  <c r="S52" i="1"/>
  <c r="S51" i="1"/>
  <c r="CJ26" i="4"/>
  <c r="S48" i="1"/>
  <c r="V48" i="1" s="1"/>
  <c r="AB21" i="2"/>
  <c r="T21" i="2"/>
  <c r="F17" i="5" l="1"/>
  <c r="G17" i="5" s="1"/>
  <c r="BY26" i="4"/>
  <c r="S45" i="1"/>
  <c r="CK26" i="4" s="1"/>
  <c r="S40" i="1"/>
  <c r="AZ26" i="4" s="1"/>
  <c r="AB36" i="1"/>
  <c r="S37" i="1"/>
  <c r="BZ26" i="4" s="1"/>
  <c r="S36" i="1"/>
  <c r="N36" i="1"/>
  <c r="V40" i="1" l="1"/>
  <c r="W45" i="1"/>
  <c r="AB45" i="1" s="1"/>
  <c r="AB7" i="3"/>
  <c r="BP25" i="4"/>
  <c r="BO25" i="4"/>
  <c r="BN25" i="4"/>
  <c r="I20" i="5"/>
  <c r="I19" i="5"/>
  <c r="AA7" i="3" l="1"/>
  <c r="S7" i="3"/>
  <c r="AC7" i="3" s="1"/>
  <c r="R7" i="3"/>
  <c r="AO25" i="4"/>
  <c r="AN25" i="4"/>
  <c r="V30" i="1"/>
  <c r="BO24" i="4" l="1"/>
  <c r="BN24" i="4"/>
  <c r="Q24" i="4"/>
  <c r="P24" i="4"/>
  <c r="T13" i="2" l="1"/>
  <c r="AY24" i="4"/>
  <c r="AN24" i="4"/>
  <c r="S18" i="1"/>
  <c r="S17" i="1"/>
  <c r="AZ24" i="4" s="1"/>
  <c r="S16" i="1"/>
  <c r="S15" i="1"/>
  <c r="AB12" i="1"/>
  <c r="S12" i="1"/>
  <c r="AO24" i="4" s="1"/>
  <c r="V15" i="1" l="1"/>
  <c r="AB23" i="4"/>
  <c r="AA23" i="4"/>
  <c r="AB9" i="1" l="1"/>
  <c r="AB8" i="1"/>
  <c r="AB10" i="2"/>
  <c r="L19" i="4" l="1"/>
  <c r="AB303" i="1" l="1"/>
  <c r="AB302" i="1"/>
  <c r="AB298" i="1"/>
  <c r="A29" i="5" l="1"/>
  <c r="AB296" i="1" l="1"/>
  <c r="AB293" i="1"/>
  <c r="A23" i="5"/>
  <c r="R290" i="1" l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B290" i="1"/>
  <c r="AB291" i="1"/>
  <c r="AB292" i="1"/>
  <c r="AB294" i="1"/>
  <c r="AB295" i="1"/>
  <c r="AB297" i="1"/>
  <c r="AB299" i="1"/>
  <c r="AB300" i="1"/>
  <c r="AB301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280" i="1" l="1"/>
  <c r="AB277" i="1" l="1"/>
  <c r="AB274" i="1"/>
  <c r="AB270" i="1"/>
  <c r="AB273" i="1"/>
  <c r="AC273" i="1"/>
  <c r="AC274" i="1"/>
  <c r="AB275" i="1"/>
  <c r="AC275" i="1"/>
  <c r="AB276" i="1"/>
  <c r="AC276" i="1"/>
  <c r="AC277" i="1"/>
  <c r="AB278" i="1"/>
  <c r="AC278" i="1"/>
  <c r="AB279" i="1"/>
  <c r="AC279" i="1"/>
  <c r="AC280" i="1"/>
  <c r="AB281" i="1"/>
  <c r="AC281" i="1"/>
  <c r="AB282" i="1"/>
  <c r="AC282" i="1"/>
  <c r="AB283" i="1"/>
  <c r="AC283" i="1"/>
  <c r="AB284" i="1"/>
  <c r="AC284" i="1"/>
  <c r="AB285" i="1"/>
  <c r="AC285" i="1"/>
  <c r="AB286" i="1"/>
  <c r="AC286" i="1"/>
  <c r="AB287" i="1"/>
  <c r="AC287" i="1"/>
  <c r="AB288" i="1"/>
  <c r="AC288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AB70" i="2"/>
  <c r="AB68" i="2"/>
  <c r="AB267" i="1" l="1"/>
  <c r="AB67" i="2"/>
  <c r="AB263" i="1"/>
  <c r="L61" i="4" l="1"/>
  <c r="K61" i="4"/>
  <c r="J61" i="4"/>
  <c r="I61" i="4"/>
  <c r="H61" i="4"/>
  <c r="AB254" i="1" l="1"/>
  <c r="AB257" i="1"/>
  <c r="AC51" i="2" l="1"/>
  <c r="R237" i="1" l="1"/>
  <c r="R236" i="1"/>
  <c r="R235" i="1"/>
  <c r="R232" i="1"/>
  <c r="R231" i="1"/>
  <c r="AC227" i="1"/>
  <c r="AB226" i="1"/>
  <c r="R228" i="1"/>
  <c r="R229" i="1"/>
  <c r="R230" i="1"/>
  <c r="R233" i="1"/>
  <c r="R234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5" i="1"/>
  <c r="AB256" i="1"/>
  <c r="AB258" i="1"/>
  <c r="AB259" i="1"/>
  <c r="AB260" i="1"/>
  <c r="AB261" i="1"/>
  <c r="AB262" i="1"/>
  <c r="AC228" i="1"/>
  <c r="AC229" i="1"/>
  <c r="AC230" i="1"/>
  <c r="AC233" i="1"/>
  <c r="AC234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B223" i="1"/>
  <c r="AC232" i="1" l="1"/>
  <c r="AC231" i="1"/>
  <c r="R227" i="1"/>
  <c r="AC235" i="1"/>
  <c r="AB227" i="1"/>
  <c r="AB212" i="1" l="1"/>
  <c r="AB54" i="2"/>
  <c r="AB209" i="1"/>
  <c r="AB206" i="1" l="1"/>
  <c r="AB47" i="2" l="1"/>
  <c r="S47" i="2"/>
  <c r="AB203" i="1"/>
  <c r="AB195" i="1" l="1"/>
  <c r="AB188" i="1" l="1"/>
  <c r="AB180" i="1" l="1"/>
  <c r="AB173" i="1" l="1"/>
  <c r="AB170" i="1" l="1"/>
  <c r="R158" i="1" l="1"/>
  <c r="R159" i="1"/>
  <c r="R160" i="1"/>
  <c r="R161" i="1"/>
  <c r="AB158" i="1"/>
  <c r="AC158" i="1"/>
  <c r="AC159" i="1"/>
  <c r="AB160" i="1"/>
  <c r="AC160" i="1"/>
  <c r="AB161" i="1"/>
  <c r="DU37" i="4" l="1"/>
  <c r="DS37" i="4"/>
  <c r="AC33" i="12"/>
  <c r="AB33" i="12"/>
  <c r="R33" i="12"/>
  <c r="AB146" i="1"/>
  <c r="AB140" i="1"/>
  <c r="AB133" i="1"/>
  <c r="AB132" i="1"/>
  <c r="AB131" i="1"/>
  <c r="AB130" i="1"/>
  <c r="AA10" i="3" l="1"/>
  <c r="AB123" i="1" l="1"/>
  <c r="AB126" i="1" l="1"/>
  <c r="AB113" i="1" l="1"/>
  <c r="AB107" i="1"/>
  <c r="AB93" i="1"/>
  <c r="AB94" i="1" l="1"/>
  <c r="AB99" i="1" l="1"/>
  <c r="AB90" i="1"/>
  <c r="AB77" i="1" l="1"/>
  <c r="AB71" i="1" l="1"/>
  <c r="AB65" i="1"/>
  <c r="AB60" i="1"/>
  <c r="AB14" i="2" l="1"/>
  <c r="AB49" i="1"/>
  <c r="R40" i="1"/>
  <c r="AC40" i="1"/>
  <c r="AB40" i="1"/>
  <c r="BC26" i="4" l="1"/>
  <c r="AC39" i="1"/>
  <c r="AB39" i="1"/>
  <c r="R39" i="1"/>
  <c r="AC38" i="1"/>
  <c r="AB38" i="1"/>
  <c r="R38" i="1"/>
  <c r="AC37" i="1"/>
  <c r="CC26" i="4" s="1"/>
  <c r="AB37" i="1"/>
  <c r="R37" i="1"/>
  <c r="AB34" i="1"/>
  <c r="AB31" i="1"/>
  <c r="AB25" i="1"/>
  <c r="AB20" i="1"/>
  <c r="AC101" i="1" l="1"/>
  <c r="R101" i="1"/>
  <c r="R7" i="1"/>
  <c r="AB7" i="1"/>
  <c r="AC7" i="1"/>
  <c r="AD7" i="1" s="1"/>
  <c r="R8" i="1"/>
  <c r="AC8" i="1"/>
  <c r="R9" i="1"/>
  <c r="AC9" i="1"/>
  <c r="R10" i="1"/>
  <c r="AB10" i="1"/>
  <c r="AC10" i="1"/>
  <c r="R11" i="1"/>
  <c r="AB11" i="1"/>
  <c r="AC11" i="1"/>
  <c r="R12" i="1"/>
  <c r="AC12" i="1"/>
  <c r="R13" i="1"/>
  <c r="AB13" i="1"/>
  <c r="AC13" i="1"/>
  <c r="R14" i="1"/>
  <c r="AB14" i="1"/>
  <c r="AC14" i="1"/>
  <c r="R15" i="1"/>
  <c r="AB15" i="1"/>
  <c r="AC15" i="1"/>
  <c r="R16" i="1"/>
  <c r="AB16" i="1"/>
  <c r="AC16" i="1"/>
  <c r="R17" i="1"/>
  <c r="AB17" i="1"/>
  <c r="AC17" i="1"/>
  <c r="R18" i="1"/>
  <c r="AB18" i="1"/>
  <c r="AC18" i="1"/>
  <c r="R19" i="1"/>
  <c r="AB19" i="1"/>
  <c r="AC19" i="1"/>
  <c r="R20" i="1"/>
  <c r="AC20" i="1"/>
  <c r="R21" i="1"/>
  <c r="AB21" i="1"/>
  <c r="AC22" i="1"/>
  <c r="AB22" i="1"/>
  <c r="R23" i="1"/>
  <c r="AB23" i="1"/>
  <c r="AC23" i="1"/>
  <c r="R24" i="1"/>
  <c r="AB24" i="1"/>
  <c r="R25" i="1"/>
  <c r="AC25" i="1"/>
  <c r="R26" i="1"/>
  <c r="AB26" i="1"/>
  <c r="AC26" i="1"/>
  <c r="R27" i="1"/>
  <c r="AB27" i="1"/>
  <c r="AC27" i="1"/>
  <c r="R28" i="1"/>
  <c r="AB28" i="1"/>
  <c r="AC28" i="1"/>
  <c r="R29" i="1"/>
  <c r="AB29" i="1"/>
  <c r="AC29" i="1"/>
  <c r="AC30" i="1"/>
  <c r="R31" i="1"/>
  <c r="AC31" i="1"/>
  <c r="R32" i="1"/>
  <c r="AB32" i="1"/>
  <c r="AC32" i="1"/>
  <c r="R33" i="1"/>
  <c r="AB33" i="1"/>
  <c r="AC33" i="1"/>
  <c r="R34" i="1"/>
  <c r="AC34" i="1"/>
  <c r="R35" i="1"/>
  <c r="AB35" i="1"/>
  <c r="AC35" i="1"/>
  <c r="R36" i="1"/>
  <c r="AC36" i="1"/>
  <c r="R41" i="1"/>
  <c r="AB41" i="1"/>
  <c r="AC41" i="1"/>
  <c r="R42" i="1"/>
  <c r="AB42" i="1"/>
  <c r="AC42" i="1"/>
  <c r="R43" i="1"/>
  <c r="AB43" i="1"/>
  <c r="R44" i="1"/>
  <c r="AB44" i="1"/>
  <c r="AC44" i="1"/>
  <c r="R45" i="1"/>
  <c r="AC45" i="1"/>
  <c r="R46" i="1"/>
  <c r="AB46" i="1"/>
  <c r="AB47" i="1"/>
  <c r="R48" i="1"/>
  <c r="AB48" i="1"/>
  <c r="AC48" i="1"/>
  <c r="R49" i="1"/>
  <c r="AC49" i="1"/>
  <c r="R50" i="1"/>
  <c r="AB50" i="1"/>
  <c r="AC50" i="1"/>
  <c r="R51" i="1"/>
  <c r="AC51" i="1"/>
  <c r="R52" i="1"/>
  <c r="AB52" i="1"/>
  <c r="AC52" i="1"/>
  <c r="R53" i="1"/>
  <c r="AB53" i="1"/>
  <c r="AC53" i="1"/>
  <c r="R54" i="1"/>
  <c r="AB54" i="1"/>
  <c r="AC54" i="1"/>
  <c r="R55" i="1"/>
  <c r="AC55" i="1"/>
  <c r="R56" i="1"/>
  <c r="AB56" i="1"/>
  <c r="AC56" i="1"/>
  <c r="R57" i="1"/>
  <c r="AB57" i="1"/>
  <c r="AC57" i="1"/>
  <c r="R58" i="1"/>
  <c r="AB58" i="1"/>
  <c r="AC58" i="1"/>
  <c r="R59" i="1"/>
  <c r="AB59" i="1"/>
  <c r="AC59" i="1"/>
  <c r="R60" i="1"/>
  <c r="AC60" i="1"/>
  <c r="R61" i="1"/>
  <c r="AC61" i="1"/>
  <c r="R62" i="1"/>
  <c r="AB62" i="1"/>
  <c r="AC62" i="1"/>
  <c r="R63" i="1"/>
  <c r="AC63" i="1"/>
  <c r="R64" i="1"/>
  <c r="AC64" i="1"/>
  <c r="R65" i="1"/>
  <c r="AC65" i="1"/>
  <c r="R66" i="1"/>
  <c r="AC66" i="1"/>
  <c r="AB66" i="1"/>
  <c r="AC67" i="1"/>
  <c r="AB67" i="1"/>
  <c r="AC68" i="1"/>
  <c r="R69" i="1"/>
  <c r="AB69" i="1"/>
  <c r="AC69" i="1"/>
  <c r="R70" i="1"/>
  <c r="AB70" i="1"/>
  <c r="AC70" i="1"/>
  <c r="R71" i="1"/>
  <c r="AC71" i="1"/>
  <c r="AC72" i="1"/>
  <c r="R73" i="1"/>
  <c r="AB73" i="1"/>
  <c r="AC73" i="1"/>
  <c r="R74" i="1"/>
  <c r="AB74" i="1"/>
  <c r="AC74" i="1"/>
  <c r="R75" i="1"/>
  <c r="R76" i="1"/>
  <c r="AB76" i="1"/>
  <c r="AC76" i="1"/>
  <c r="R77" i="1"/>
  <c r="AC77" i="1"/>
  <c r="R78" i="1"/>
  <c r="AC78" i="1"/>
  <c r="R79" i="1"/>
  <c r="AB79" i="1"/>
  <c r="AC79" i="1"/>
  <c r="R80" i="1"/>
  <c r="AB80" i="1"/>
  <c r="AC80" i="1"/>
  <c r="R81" i="1"/>
  <c r="AC81" i="1"/>
  <c r="R82" i="1"/>
  <c r="AB82" i="1"/>
  <c r="AC82" i="1"/>
  <c r="R83" i="1"/>
  <c r="AC83" i="1"/>
  <c r="R84" i="1"/>
  <c r="AB84" i="1"/>
  <c r="AC84" i="1"/>
  <c r="R85" i="1"/>
  <c r="AB85" i="1"/>
  <c r="AC85" i="1"/>
  <c r="R86" i="1"/>
  <c r="AB86" i="1"/>
  <c r="AC86" i="1"/>
  <c r="R87" i="1"/>
  <c r="AC87" i="1"/>
  <c r="R88" i="1"/>
  <c r="AB88" i="1"/>
  <c r="AC88" i="1"/>
  <c r="R89" i="1"/>
  <c r="AB89" i="1"/>
  <c r="AC89" i="1"/>
  <c r="R90" i="1"/>
  <c r="AC90" i="1"/>
  <c r="R91" i="1"/>
  <c r="AB91" i="1"/>
  <c r="AC91" i="1"/>
  <c r="R92" i="1"/>
  <c r="AB92" i="1"/>
  <c r="AC92" i="1"/>
  <c r="R93" i="1"/>
  <c r="AC93" i="1"/>
  <c r="R94" i="1"/>
  <c r="AC94" i="1"/>
  <c r="R95" i="1"/>
  <c r="AB95" i="1"/>
  <c r="AC95" i="1"/>
  <c r="R96" i="1"/>
  <c r="AC96" i="1"/>
  <c r="R97" i="1"/>
  <c r="AC97" i="1"/>
  <c r="R98" i="1"/>
  <c r="AB98" i="1"/>
  <c r="R99" i="1"/>
  <c r="AC99" i="1"/>
  <c r="R100" i="1"/>
  <c r="AB100" i="1"/>
  <c r="AC100" i="1"/>
  <c r="AB101" i="1"/>
  <c r="R102" i="1"/>
  <c r="AB102" i="1"/>
  <c r="R103" i="1"/>
  <c r="AB103" i="1"/>
  <c r="AC103" i="1"/>
  <c r="R104" i="1"/>
  <c r="AB104" i="1"/>
  <c r="AC104" i="1"/>
  <c r="R105" i="1"/>
  <c r="AB105" i="1"/>
  <c r="AC105" i="1"/>
  <c r="R106" i="1"/>
  <c r="AB106" i="1"/>
  <c r="AC106" i="1"/>
  <c r="R107" i="1"/>
  <c r="AC107" i="1"/>
  <c r="R108" i="1"/>
  <c r="AC108" i="1"/>
  <c r="R109" i="1"/>
  <c r="AB109" i="1"/>
  <c r="AC109" i="1"/>
  <c r="R110" i="1"/>
  <c r="AB110" i="1"/>
  <c r="AC110" i="1"/>
  <c r="R111" i="1"/>
  <c r="AC111" i="1"/>
  <c r="R112" i="1"/>
  <c r="AB112" i="1"/>
  <c r="AC112" i="1"/>
  <c r="R113" i="1"/>
  <c r="AC113" i="1"/>
  <c r="R114" i="1"/>
  <c r="AB114" i="1"/>
  <c r="AC114" i="1"/>
  <c r="AB116" i="1"/>
  <c r="AC116" i="1"/>
  <c r="R117" i="1"/>
  <c r="AB117" i="1"/>
  <c r="AC117" i="1"/>
  <c r="R118" i="1"/>
  <c r="AB118" i="1"/>
  <c r="R119" i="1"/>
  <c r="AB119" i="1"/>
  <c r="AC119" i="1"/>
  <c r="R120" i="1"/>
  <c r="AB120" i="1"/>
  <c r="AC120" i="1"/>
  <c r="R121" i="1"/>
  <c r="AB121" i="1"/>
  <c r="AC121" i="1"/>
  <c r="R122" i="1"/>
  <c r="AC122" i="1"/>
  <c r="R123" i="1"/>
  <c r="AC123" i="1"/>
  <c r="R124" i="1"/>
  <c r="AB124" i="1"/>
  <c r="AC124" i="1"/>
  <c r="R125" i="1"/>
  <c r="AB125" i="1"/>
  <c r="AC125" i="1"/>
  <c r="R126" i="1"/>
  <c r="AC126" i="1"/>
  <c r="R127" i="1"/>
  <c r="AB127" i="1"/>
  <c r="AC127" i="1"/>
  <c r="R128" i="1"/>
  <c r="AC128" i="1"/>
  <c r="R129" i="1"/>
  <c r="AC129" i="1"/>
  <c r="R130" i="1"/>
  <c r="R131" i="1"/>
  <c r="AC131" i="1"/>
  <c r="R132" i="1"/>
  <c r="AC132" i="1"/>
  <c r="R133" i="1"/>
  <c r="AC133" i="1"/>
  <c r="R134" i="1"/>
  <c r="AB134" i="1"/>
  <c r="AC134" i="1"/>
  <c r="R135" i="1"/>
  <c r="AB135" i="1"/>
  <c r="AC135" i="1"/>
  <c r="R136" i="1"/>
  <c r="AB136" i="1"/>
  <c r="AC136" i="1"/>
  <c r="R137" i="1"/>
  <c r="AB137" i="1"/>
  <c r="AC137" i="1"/>
  <c r="AB138" i="1"/>
  <c r="R139" i="1"/>
  <c r="AB139" i="1"/>
  <c r="AC139" i="1"/>
  <c r="R140" i="1"/>
  <c r="AC140" i="1"/>
  <c r="R141" i="1"/>
  <c r="AC141" i="1"/>
  <c r="R142" i="1"/>
  <c r="AB142" i="1"/>
  <c r="AC142" i="1"/>
  <c r="R143" i="1"/>
  <c r="AB143" i="1"/>
  <c r="AC143" i="1"/>
  <c r="R144" i="1"/>
  <c r="AC144" i="1"/>
  <c r="R145" i="1"/>
  <c r="AB145" i="1"/>
  <c r="AC145" i="1"/>
  <c r="R146" i="1"/>
  <c r="AC146" i="1"/>
  <c r="R147" i="1"/>
  <c r="AC147" i="1"/>
  <c r="R148" i="1"/>
  <c r="AB148" i="1"/>
  <c r="AC148" i="1"/>
  <c r="R149" i="1"/>
  <c r="AB149" i="1"/>
  <c r="AC149" i="1"/>
  <c r="AC150" i="1"/>
  <c r="R151" i="1"/>
  <c r="AC151" i="1"/>
  <c r="R152" i="1"/>
  <c r="AB152" i="1"/>
  <c r="AC152" i="1"/>
  <c r="R153" i="1"/>
  <c r="AB153" i="1"/>
  <c r="AC153" i="1"/>
  <c r="R154" i="1"/>
  <c r="AB154" i="1"/>
  <c r="AC154" i="1"/>
  <c r="R155" i="1"/>
  <c r="AC155" i="1"/>
  <c r="R156" i="1"/>
  <c r="AB156" i="1"/>
  <c r="AC156" i="1"/>
  <c r="R157" i="1"/>
  <c r="AB157" i="1"/>
  <c r="AC157" i="1"/>
  <c r="AC161" i="1"/>
  <c r="R162" i="1"/>
  <c r="AB162" i="1"/>
  <c r="AC162" i="1"/>
  <c r="R163" i="1"/>
  <c r="AB163" i="1"/>
  <c r="AC163" i="1"/>
  <c r="AC164" i="1"/>
  <c r="AB164" i="1"/>
  <c r="R165" i="1"/>
  <c r="AC165" i="1"/>
  <c r="R166" i="1"/>
  <c r="AB166" i="1"/>
  <c r="AC166" i="1"/>
  <c r="R167" i="1"/>
  <c r="AB167" i="1"/>
  <c r="R168" i="1"/>
  <c r="AC168" i="1"/>
  <c r="AC169" i="1"/>
  <c r="AB169" i="1"/>
  <c r="R170" i="1"/>
  <c r="AC170" i="1"/>
  <c r="R171" i="1"/>
  <c r="AB171" i="1"/>
  <c r="AC171" i="1"/>
  <c r="R172" i="1"/>
  <c r="AB172" i="1"/>
  <c r="R173" i="1"/>
  <c r="AC173" i="1"/>
  <c r="R174" i="1"/>
  <c r="AC174" i="1"/>
  <c r="R175" i="1"/>
  <c r="AB175" i="1"/>
  <c r="AC175" i="1"/>
  <c r="AC176" i="1"/>
  <c r="AB176" i="1"/>
  <c r="R177" i="1"/>
  <c r="AC177" i="1"/>
  <c r="R178" i="1"/>
  <c r="AB178" i="1"/>
  <c r="AC178" i="1"/>
  <c r="R179" i="1"/>
  <c r="AB179" i="1"/>
  <c r="R180" i="1"/>
  <c r="AC180" i="1"/>
  <c r="R181" i="1"/>
  <c r="AB181" i="1"/>
  <c r="AC181" i="1"/>
  <c r="R182" i="1"/>
  <c r="AB182" i="1"/>
  <c r="AC182" i="1"/>
  <c r="R183" i="1"/>
  <c r="AC183" i="1"/>
  <c r="R184" i="1"/>
  <c r="AB184" i="1"/>
  <c r="AC184" i="1"/>
  <c r="AB185" i="1"/>
  <c r="R186" i="1"/>
  <c r="AB186" i="1"/>
  <c r="AC186" i="1"/>
  <c r="R187" i="1"/>
  <c r="AC187" i="1"/>
  <c r="R188" i="1"/>
  <c r="AC188" i="1"/>
  <c r="R189" i="1"/>
  <c r="AC189" i="1"/>
  <c r="R190" i="1"/>
  <c r="AC190" i="1"/>
  <c r="R191" i="1"/>
  <c r="AB191" i="1"/>
  <c r="AC191" i="1"/>
  <c r="R192" i="1"/>
  <c r="AB192" i="1"/>
  <c r="AC192" i="1"/>
  <c r="R193" i="1"/>
  <c r="AB193" i="1"/>
  <c r="AC193" i="1"/>
  <c r="AC194" i="1"/>
  <c r="AB194" i="1"/>
  <c r="R195" i="1"/>
  <c r="AC195" i="1"/>
  <c r="R196" i="1"/>
  <c r="AB196" i="1"/>
  <c r="AC196" i="1"/>
  <c r="AB197" i="1"/>
  <c r="R198" i="1"/>
  <c r="AB198" i="1"/>
  <c r="AC198" i="1"/>
  <c r="R199" i="1"/>
  <c r="AB199" i="1"/>
  <c r="AC199" i="1"/>
  <c r="R200" i="1"/>
  <c r="AB200" i="1"/>
  <c r="AC200" i="1"/>
  <c r="AC201" i="1"/>
  <c r="AB202" i="1"/>
  <c r="R203" i="1"/>
  <c r="AC203" i="1"/>
  <c r="R204" i="1"/>
  <c r="AC204" i="1"/>
  <c r="AB204" i="1"/>
  <c r="AB205" i="1"/>
  <c r="R206" i="1"/>
  <c r="AC206" i="1"/>
  <c r="R207" i="1"/>
  <c r="AB207" i="1"/>
  <c r="AC207" i="1"/>
  <c r="R208" i="1"/>
  <c r="AB208" i="1"/>
  <c r="AC208" i="1"/>
  <c r="R209" i="1"/>
  <c r="AC209" i="1"/>
  <c r="R210" i="1"/>
  <c r="AB210" i="1"/>
  <c r="AC210" i="1"/>
  <c r="R211" i="1"/>
  <c r="AB211" i="1"/>
  <c r="AC211" i="1"/>
  <c r="AC212" i="1"/>
  <c r="R213" i="1"/>
  <c r="AB213" i="1"/>
  <c r="R214" i="1"/>
  <c r="AB214" i="1"/>
  <c r="AC214" i="1"/>
  <c r="R215" i="1"/>
  <c r="AB215" i="1"/>
  <c r="AC215" i="1"/>
  <c r="R216" i="1"/>
  <c r="AB216" i="1"/>
  <c r="AC216" i="1"/>
  <c r="R217" i="1"/>
  <c r="AB217" i="1"/>
  <c r="AC217" i="1"/>
  <c r="R218" i="1"/>
  <c r="AB218" i="1"/>
  <c r="AC218" i="1"/>
  <c r="R219" i="1"/>
  <c r="AB219" i="1"/>
  <c r="AC219" i="1"/>
  <c r="R220" i="1"/>
  <c r="AB220" i="1"/>
  <c r="AC220" i="1"/>
  <c r="R221" i="1"/>
  <c r="AB221" i="1"/>
  <c r="AC221" i="1"/>
  <c r="R222" i="1"/>
  <c r="AB222" i="1"/>
  <c r="AC222" i="1"/>
  <c r="R223" i="1"/>
  <c r="AC223" i="1"/>
  <c r="R224" i="1"/>
  <c r="AB224" i="1"/>
  <c r="AC224" i="1"/>
  <c r="R225" i="1"/>
  <c r="AB225" i="1"/>
  <c r="AC225" i="1"/>
  <c r="R226" i="1"/>
  <c r="AC226" i="1"/>
  <c r="R264" i="1"/>
  <c r="AB264" i="1"/>
  <c r="R265" i="1"/>
  <c r="AB265" i="1"/>
  <c r="AC265" i="1"/>
  <c r="R266" i="1"/>
  <c r="AB266" i="1"/>
  <c r="AC266" i="1"/>
  <c r="R267" i="1"/>
  <c r="AC267" i="1"/>
  <c r="R268" i="1"/>
  <c r="AB268" i="1"/>
  <c r="AC268" i="1"/>
  <c r="R269" i="1"/>
  <c r="AB269" i="1"/>
  <c r="AC269" i="1"/>
  <c r="R270" i="1"/>
  <c r="AC270" i="1"/>
  <c r="R271" i="1"/>
  <c r="AB271" i="1"/>
  <c r="AC271" i="1"/>
  <c r="AB272" i="1"/>
  <c r="AC272" i="1"/>
  <c r="AB289" i="1"/>
  <c r="AC289" i="1"/>
  <c r="R312" i="1"/>
  <c r="R313" i="1"/>
  <c r="R314" i="1"/>
  <c r="R315" i="1"/>
  <c r="AC315" i="1"/>
  <c r="R316" i="1"/>
  <c r="AB316" i="1"/>
  <c r="AC316" i="1"/>
  <c r="R317" i="1"/>
  <c r="AB317" i="1"/>
  <c r="AC317" i="1"/>
  <c r="R318" i="1"/>
  <c r="AB318" i="1"/>
  <c r="AC318" i="1"/>
  <c r="AC30" i="4" l="1"/>
  <c r="AG30" i="4"/>
  <c r="AD161" i="1"/>
  <c r="CY37" i="4"/>
  <c r="CW37" i="4"/>
  <c r="CY36" i="4"/>
  <c r="CW36" i="4"/>
  <c r="CL33" i="4"/>
  <c r="CN33" i="4"/>
  <c r="CC31" i="4"/>
  <c r="CA31" i="4"/>
  <c r="AD74" i="1"/>
  <c r="T27" i="4"/>
  <c r="R27" i="4"/>
  <c r="DH37" i="4"/>
  <c r="DJ37" i="4"/>
  <c r="DJ31" i="4"/>
  <c r="DH31" i="4"/>
  <c r="CO30" i="4"/>
  <c r="CL30" i="4"/>
  <c r="CC27" i="4"/>
  <c r="CA27" i="4"/>
  <c r="CC38" i="4"/>
  <c r="CA38" i="4"/>
  <c r="DJ34" i="4"/>
  <c r="DH34" i="4"/>
  <c r="CW34" i="4"/>
  <c r="AD136" i="1"/>
  <c r="CN27" i="4"/>
  <c r="CL27" i="4"/>
  <c r="BF26" i="4"/>
  <c r="BA26" i="4"/>
  <c r="AD35" i="1"/>
  <c r="AD89" i="1"/>
  <c r="CL29" i="4"/>
  <c r="CP29" i="4"/>
  <c r="AD165" i="1"/>
  <c r="T38" i="4"/>
  <c r="R38" i="4"/>
  <c r="AC29" i="4"/>
  <c r="AG29" i="4"/>
  <c r="DJ28" i="4"/>
  <c r="DH28" i="4"/>
  <c r="CN26" i="4"/>
  <c r="CL26" i="4"/>
  <c r="BA36" i="4"/>
  <c r="BF36" i="4"/>
  <c r="CN32" i="4"/>
  <c r="CL32" i="4"/>
  <c r="CY32" i="4"/>
  <c r="CW32" i="4"/>
  <c r="AD110" i="1"/>
  <c r="BF31" i="4"/>
  <c r="BA31" i="4"/>
  <c r="BR30" i="4"/>
  <c r="BP30" i="4"/>
  <c r="BA27" i="4"/>
  <c r="BF27" i="4"/>
  <c r="CA26" i="4"/>
  <c r="AP24" i="4"/>
  <c r="AR24" i="4"/>
  <c r="BA24" i="4"/>
  <c r="BF24" i="4"/>
  <c r="AG23" i="4"/>
  <c r="AD11" i="1"/>
  <c r="AC23" i="4"/>
  <c r="R24" i="4"/>
  <c r="T24" i="4"/>
  <c r="AT25" i="4"/>
  <c r="AP25" i="4"/>
  <c r="BR24" i="4"/>
  <c r="BP24" i="4"/>
  <c r="AC264" i="1"/>
  <c r="AC213" i="1"/>
  <c r="R197" i="1"/>
  <c r="R138" i="1"/>
  <c r="AC118" i="1"/>
  <c r="AC102" i="1"/>
  <c r="AC21" i="1"/>
  <c r="AB201" i="1"/>
  <c r="AC197" i="1"/>
  <c r="AB150" i="1"/>
  <c r="AC138" i="1"/>
  <c r="AC46" i="1"/>
  <c r="R201" i="1"/>
  <c r="AC115" i="1"/>
  <c r="R72" i="1"/>
  <c r="AC167" i="1"/>
  <c r="AC75" i="1"/>
  <c r="AC179" i="1"/>
  <c r="AC172" i="1"/>
  <c r="R164" i="1"/>
  <c r="R67" i="1"/>
  <c r="AB30" i="1"/>
  <c r="R22" i="1"/>
  <c r="R176" i="1"/>
  <c r="AB129" i="1"/>
  <c r="R47" i="1"/>
  <c r="AC43" i="1"/>
  <c r="AD57" i="1" s="1"/>
  <c r="R30" i="1"/>
  <c r="AC24" i="1"/>
  <c r="R212" i="1"/>
  <c r="R205" i="1"/>
  <c r="R202" i="1"/>
  <c r="AC130" i="1"/>
  <c r="AD132" i="1" s="1"/>
  <c r="AC98" i="1"/>
  <c r="AD98" i="1" s="1"/>
  <c r="R68" i="1"/>
  <c r="R194" i="1"/>
  <c r="AB187" i="1"/>
  <c r="R169" i="1"/>
  <c r="R150" i="1"/>
  <c r="AB115" i="1"/>
  <c r="AB83" i="1"/>
  <c r="AB55" i="1"/>
  <c r="AC205" i="1"/>
  <c r="AC202" i="1"/>
  <c r="AC47" i="1"/>
  <c r="J2" i="5"/>
  <c r="T36" i="4" l="1"/>
  <c r="R36" i="4"/>
  <c r="AD83" i="1"/>
  <c r="BP28" i="4"/>
  <c r="BR28" i="4"/>
  <c r="AD150" i="1"/>
  <c r="AG32" i="4"/>
  <c r="AC32" i="4"/>
  <c r="AG33" i="4"/>
  <c r="AC33" i="4"/>
  <c r="BR31" i="4"/>
  <c r="BP31" i="4"/>
  <c r="AD121" i="1"/>
  <c r="AD28" i="1"/>
  <c r="AB88" i="2"/>
  <c r="AB80" i="2" l="1"/>
  <c r="AB73" i="2" l="1"/>
  <c r="AB69" i="2" l="1"/>
  <c r="AC66" i="2" l="1"/>
  <c r="AB66" i="2"/>
  <c r="S66" i="2"/>
  <c r="S68" i="2"/>
  <c r="S67" i="2"/>
  <c r="AC67" i="2" l="1"/>
  <c r="AB63" i="2" l="1"/>
  <c r="FS38" i="4" l="1"/>
  <c r="FU39" i="4" l="1"/>
  <c r="FT39" i="4"/>
  <c r="FU38" i="4" l="1"/>
  <c r="FT38" i="4"/>
  <c r="FS37" i="4" l="1"/>
  <c r="R38" i="12" l="1"/>
  <c r="AB38" i="12" l="1"/>
  <c r="AC38" i="12"/>
  <c r="S57" i="2"/>
  <c r="FT37" i="4"/>
  <c r="AB37" i="12"/>
  <c r="AC37" i="12"/>
  <c r="R37" i="12"/>
  <c r="AB36" i="12"/>
  <c r="AC36" i="12"/>
  <c r="R36" i="12"/>
  <c r="AB35" i="12"/>
  <c r="R35" i="12" l="1"/>
  <c r="AC35" i="12"/>
  <c r="FU37" i="4"/>
  <c r="AB24" i="2" l="1"/>
  <c r="AB48" i="2" l="1"/>
  <c r="AB42" i="2" l="1"/>
  <c r="AB33" i="2" l="1"/>
  <c r="S33" i="2"/>
  <c r="AB30" i="2"/>
  <c r="S24" i="2" l="1"/>
  <c r="AB23" i="2"/>
  <c r="AC20" i="2"/>
  <c r="AB20" i="2"/>
  <c r="S20" i="2"/>
  <c r="AB19" i="2"/>
  <c r="AB13" i="2" l="1"/>
  <c r="AC34" i="12" l="1"/>
  <c r="AB34" i="12"/>
  <c r="R34" i="12"/>
  <c r="AC10" i="2" l="1"/>
  <c r="S10" i="2"/>
  <c r="AB8" i="2" l="1"/>
  <c r="Q320" i="1"/>
  <c r="A17" i="7" l="1"/>
  <c r="A16" i="7"/>
  <c r="A15" i="7"/>
  <c r="A33" i="5"/>
  <c r="A31" i="5"/>
  <c r="A11" i="5" l="1"/>
  <c r="AB104" i="2" l="1"/>
  <c r="AC104" i="2"/>
  <c r="S104" i="2"/>
  <c r="S103" i="2"/>
  <c r="AB96" i="2" l="1"/>
  <c r="AB93" i="2" l="1"/>
  <c r="AC92" i="2" l="1"/>
  <c r="AB92" i="2"/>
  <c r="S92" i="2"/>
  <c r="AB84" i="2" l="1"/>
  <c r="AC88" i="2"/>
  <c r="AC89" i="2"/>
  <c r="AC90" i="2"/>
  <c r="AC91" i="2"/>
  <c r="AC93" i="2"/>
  <c r="AC94" i="2"/>
  <c r="AC95" i="2"/>
  <c r="AC96" i="2"/>
  <c r="AC97" i="2"/>
  <c r="AC98" i="2"/>
  <c r="AC99" i="2"/>
  <c r="AC100" i="2"/>
  <c r="AC101" i="2"/>
  <c r="AC102" i="2"/>
  <c r="AC103" i="2"/>
  <c r="AC105" i="2"/>
  <c r="AC106" i="2"/>
  <c r="AC107" i="2"/>
  <c r="AC108" i="2"/>
  <c r="AB89" i="2"/>
  <c r="AB90" i="2"/>
  <c r="AB91" i="2"/>
  <c r="AB94" i="2"/>
  <c r="AB95" i="2"/>
  <c r="AB97" i="2"/>
  <c r="AB98" i="2"/>
  <c r="AB99" i="2"/>
  <c r="AB100" i="2"/>
  <c r="AB101" i="2"/>
  <c r="AB102" i="2"/>
  <c r="AB103" i="2"/>
  <c r="AB105" i="2"/>
  <c r="AB106" i="2"/>
  <c r="AB107" i="2"/>
  <c r="AB108" i="2"/>
  <c r="AB109" i="2"/>
  <c r="AB110" i="2"/>
  <c r="AB111" i="2"/>
  <c r="AB112" i="2"/>
  <c r="S88" i="2"/>
  <c r="S89" i="2"/>
  <c r="S90" i="2"/>
  <c r="S91" i="2"/>
  <c r="S93" i="2"/>
  <c r="S94" i="2"/>
  <c r="S95" i="2"/>
  <c r="S96" i="2"/>
  <c r="S97" i="2"/>
  <c r="S98" i="2"/>
  <c r="S99" i="2"/>
  <c r="S100" i="2"/>
  <c r="S101" i="2"/>
  <c r="S102" i="2"/>
  <c r="S105" i="2"/>
  <c r="S106" i="2"/>
  <c r="S107" i="2"/>
  <c r="R41" i="12" l="1"/>
  <c r="R42" i="12"/>
  <c r="R43" i="12"/>
  <c r="R44" i="12"/>
  <c r="AB41" i="12"/>
  <c r="AC41" i="12"/>
  <c r="AB42" i="12"/>
  <c r="AC42" i="12"/>
  <c r="AB43" i="12"/>
  <c r="AC43" i="12"/>
  <c r="AB44" i="12"/>
  <c r="AC44" i="12"/>
  <c r="AB45" i="12"/>
  <c r="AC45" i="12"/>
  <c r="S73" i="2"/>
  <c r="AB65" i="2" l="1"/>
  <c r="AB10" i="10"/>
  <c r="AC68" i="2"/>
  <c r="AC69" i="2"/>
  <c r="AC70" i="2"/>
  <c r="AC71" i="2"/>
  <c r="AC72" i="2"/>
  <c r="AC73" i="2"/>
  <c r="AC74" i="2"/>
  <c r="AC75" i="2"/>
  <c r="AC76" i="2"/>
  <c r="AC77" i="2"/>
  <c r="AC78" i="2"/>
  <c r="AC79" i="2"/>
  <c r="AB71" i="2"/>
  <c r="AB75" i="2"/>
  <c r="AB76" i="2"/>
  <c r="AB77" i="2"/>
  <c r="AB78" i="2"/>
  <c r="S69" i="2"/>
  <c r="S70" i="2"/>
  <c r="S71" i="2"/>
  <c r="S72" i="2"/>
  <c r="S74" i="2"/>
  <c r="S75" i="2"/>
  <c r="S76" i="2"/>
  <c r="S77" i="2"/>
  <c r="S78" i="2"/>
  <c r="S79" i="2"/>
  <c r="AB59" i="2" l="1"/>
  <c r="S58" i="2"/>
  <c r="AB56" i="2" l="1"/>
  <c r="AB55" i="2" l="1"/>
  <c r="AC319" i="1" l="1"/>
  <c r="AB319" i="1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D29" i="7" l="1"/>
  <c r="D31" i="7"/>
  <c r="D36" i="7"/>
  <c r="D40" i="7"/>
  <c r="D42" i="7"/>
  <c r="D34" i="7"/>
  <c r="D30" i="7"/>
  <c r="D35" i="7"/>
  <c r="D33" i="7"/>
  <c r="D41" i="7"/>
  <c r="D38" i="7"/>
  <c r="D32" i="7"/>
  <c r="D39" i="7"/>
  <c r="D43" i="7"/>
  <c r="D37" i="7"/>
  <c r="AC45" i="2" l="1"/>
  <c r="AC46" i="2"/>
  <c r="AC47" i="2"/>
  <c r="AC48" i="2"/>
  <c r="AC49" i="2"/>
  <c r="AC50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80" i="2"/>
  <c r="AC81" i="2"/>
  <c r="AC82" i="2"/>
  <c r="AC83" i="2"/>
  <c r="AC84" i="2"/>
  <c r="AC85" i="2"/>
  <c r="AC86" i="2"/>
  <c r="AC87" i="2"/>
  <c r="AC109" i="2"/>
  <c r="AB45" i="2"/>
  <c r="AB46" i="2"/>
  <c r="AB49" i="2"/>
  <c r="AB50" i="2"/>
  <c r="AB57" i="2"/>
  <c r="AB58" i="2"/>
  <c r="AB60" i="2"/>
  <c r="AB61" i="2"/>
  <c r="AB62" i="2"/>
  <c r="AB64" i="2"/>
  <c r="AB79" i="2"/>
  <c r="AB81" i="2"/>
  <c r="AB82" i="2"/>
  <c r="AB83" i="2"/>
  <c r="AB85" i="2"/>
  <c r="AB86" i="2"/>
  <c r="AB87" i="2"/>
  <c r="S45" i="2"/>
  <c r="S46" i="2"/>
  <c r="S48" i="2"/>
  <c r="S49" i="2"/>
  <c r="S50" i="2"/>
  <c r="S52" i="2"/>
  <c r="S53" i="2"/>
  <c r="S55" i="2"/>
  <c r="S56" i="2"/>
  <c r="S59" i="2"/>
  <c r="S60" i="2"/>
  <c r="S61" i="2"/>
  <c r="S62" i="2"/>
  <c r="S63" i="2"/>
  <c r="S64" i="2"/>
  <c r="S65" i="2"/>
  <c r="S80" i="2"/>
  <c r="S81" i="2"/>
  <c r="S82" i="2"/>
  <c r="S83" i="2"/>
  <c r="S84" i="2"/>
  <c r="S85" i="2"/>
  <c r="S86" i="2"/>
  <c r="S87" i="2"/>
  <c r="S108" i="2"/>
  <c r="S109" i="2"/>
  <c r="E21" i="7" l="1"/>
  <c r="E22" i="7"/>
  <c r="E20" i="7"/>
  <c r="E19" i="7"/>
  <c r="A22" i="7"/>
  <c r="A42" i="7" s="1"/>
  <c r="A21" i="7"/>
  <c r="A41" i="7" s="1"/>
  <c r="A20" i="7"/>
  <c r="A40" i="7" s="1"/>
  <c r="A19" i="7"/>
  <c r="A39" i="7" s="1"/>
  <c r="A38" i="7"/>
  <c r="AA14" i="3" l="1"/>
  <c r="S37" i="2" l="1"/>
  <c r="S39" i="2"/>
  <c r="S40" i="2"/>
  <c r="S41" i="2"/>
  <c r="S42" i="2"/>
  <c r="AC36" i="2"/>
  <c r="AB37" i="2"/>
  <c r="AC37" i="2"/>
  <c r="AB39" i="2"/>
  <c r="AC39" i="2"/>
  <c r="AB40" i="2"/>
  <c r="AC40" i="2"/>
  <c r="AC41" i="2"/>
  <c r="AC42" i="2"/>
  <c r="B35" i="5" l="1"/>
  <c r="FS30" i="4" l="1"/>
  <c r="FT30" i="4" l="1"/>
  <c r="AC39" i="12"/>
  <c r="AB39" i="12"/>
  <c r="R39" i="12"/>
  <c r="FU30" i="4" l="1"/>
  <c r="FV37" i="4" l="1"/>
  <c r="FV39" i="4" l="1"/>
  <c r="AB25" i="2"/>
  <c r="S25" i="2"/>
  <c r="S23" i="2"/>
  <c r="AC14" i="2" l="1"/>
  <c r="S14" i="2"/>
  <c r="AC15" i="2"/>
  <c r="AB15" i="2"/>
  <c r="S15" i="2"/>
  <c r="BU19" i="4" l="1"/>
  <c r="BJ19" i="4"/>
  <c r="AU19" i="4"/>
  <c r="E18" i="7" l="1"/>
  <c r="E14" i="7"/>
  <c r="E9" i="7"/>
  <c r="A9" i="5"/>
  <c r="A37" i="7" l="1"/>
  <c r="A36" i="7"/>
  <c r="A35" i="7"/>
  <c r="E8" i="7"/>
  <c r="A27" i="5"/>
  <c r="A25" i="5"/>
  <c r="A21" i="5"/>
  <c r="AB7" i="10" l="1"/>
  <c r="AB8" i="10"/>
  <c r="AB9" i="10"/>
  <c r="AB11" i="10"/>
  <c r="AB12" i="10"/>
  <c r="AB13" i="10"/>
  <c r="AB14" i="10"/>
  <c r="AB15" i="10"/>
  <c r="AB16" i="10"/>
  <c r="AB17" i="10"/>
  <c r="AB18" i="10"/>
  <c r="AB19" i="10"/>
  <c r="AB20" i="10"/>
  <c r="AB21" i="10"/>
  <c r="E16" i="7" l="1"/>
  <c r="E15" i="7"/>
  <c r="E13" i="7"/>
  <c r="E11" i="7"/>
  <c r="R7" i="8" l="1"/>
  <c r="AD35" i="10" l="1"/>
  <c r="AD37" i="10" s="1"/>
  <c r="AC46" i="8"/>
  <c r="AC48" i="8" s="1"/>
  <c r="AC57" i="3"/>
  <c r="AC59" i="3" s="1"/>
  <c r="EX54" i="4" l="1"/>
  <c r="G21" i="7" s="1"/>
  <c r="FB65" i="4"/>
  <c r="FA65" i="4"/>
  <c r="FE54" i="4"/>
  <c r="FE62" i="4" s="1"/>
  <c r="FC54" i="4"/>
  <c r="FC62" i="4" s="1"/>
  <c r="FA54" i="4"/>
  <c r="FA62" i="4" s="1"/>
  <c r="EW54" i="4"/>
  <c r="J21" i="7" s="1"/>
  <c r="EV54" i="4"/>
  <c r="D21" i="7" s="1"/>
  <c r="EU54" i="4"/>
  <c r="C21" i="7" s="1"/>
  <c r="F21" i="7" s="1"/>
  <c r="FB54" i="4"/>
  <c r="FB62" i="4" s="1"/>
  <c r="EY54" i="4"/>
  <c r="H21" i="7" s="1"/>
  <c r="FD54" i="4"/>
  <c r="FD62" i="4" s="1"/>
  <c r="R40" i="12"/>
  <c r="R45" i="12"/>
  <c r="AB40" i="12"/>
  <c r="AC40" i="12"/>
  <c r="K21" i="7" l="1"/>
  <c r="EZ54" i="4"/>
  <c r="FE55" i="4" s="1"/>
  <c r="FE63" i="4"/>
  <c r="FA67" i="4" s="1"/>
  <c r="J35" i="5" s="1"/>
  <c r="FE56" i="4" l="1"/>
  <c r="D35" i="5"/>
  <c r="AA8" i="3"/>
  <c r="R319" i="1" l="1"/>
  <c r="AC32" i="2" l="1"/>
  <c r="AC33" i="2"/>
  <c r="AC34" i="2"/>
  <c r="AD34" i="2" s="1"/>
  <c r="AC35" i="2"/>
  <c r="AC43" i="2"/>
  <c r="AC44" i="2"/>
  <c r="AC110" i="2"/>
  <c r="AC111" i="2"/>
  <c r="AC112" i="2"/>
  <c r="AB32" i="2"/>
  <c r="AB34" i="2"/>
  <c r="S34" i="2"/>
  <c r="S35" i="2"/>
  <c r="S43" i="2"/>
  <c r="S44" i="2"/>
  <c r="S110" i="2"/>
  <c r="S111" i="2"/>
  <c r="S112" i="2"/>
  <c r="S32" i="2" l="1"/>
  <c r="BD54" i="4" l="1"/>
  <c r="R12" i="3" l="1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A12" i="3"/>
  <c r="AA13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B18" i="2" l="1"/>
  <c r="AB7" i="2" l="1"/>
  <c r="FT31" i="4" l="1"/>
  <c r="BN54" i="4" l="1"/>
  <c r="DB19" i="4" l="1"/>
  <c r="CQ19" i="4"/>
  <c r="CF19" i="4"/>
  <c r="B3" i="7" l="1"/>
  <c r="S7" i="2"/>
  <c r="S8" i="2"/>
  <c r="S9" i="2"/>
  <c r="S11" i="2"/>
  <c r="S12" i="2"/>
  <c r="S13" i="2"/>
  <c r="S16" i="2"/>
  <c r="S17" i="2"/>
  <c r="S18" i="2"/>
  <c r="S19" i="2"/>
  <c r="S21" i="2"/>
  <c r="S22" i="2"/>
  <c r="S26" i="2"/>
  <c r="S27" i="2"/>
  <c r="S28" i="2"/>
  <c r="S29" i="2"/>
  <c r="CC54" i="4" l="1"/>
  <c r="V54" i="4"/>
  <c r="BC54" i="4"/>
  <c r="BR54" i="4" l="1"/>
  <c r="BR62" i="4" s="1"/>
  <c r="T54" i="4"/>
  <c r="BF54" i="4"/>
  <c r="BF62" i="4" s="1"/>
  <c r="AB11" i="2"/>
  <c r="AC11" i="2"/>
  <c r="AB12" i="2"/>
  <c r="AC12" i="2"/>
  <c r="AC13" i="2"/>
  <c r="AD15" i="2" s="1"/>
  <c r="AB16" i="2"/>
  <c r="AC16" i="2"/>
  <c r="AB17" i="2"/>
  <c r="AC17" i="2"/>
  <c r="AB11" i="12" l="1"/>
  <c r="I38" i="5" l="1"/>
  <c r="AB9" i="12" l="1"/>
  <c r="AC30" i="2" l="1"/>
  <c r="AC31" i="2"/>
  <c r="AC113" i="2"/>
  <c r="AB31" i="2"/>
  <c r="AB113" i="2"/>
  <c r="S30" i="2"/>
  <c r="S31" i="2"/>
  <c r="S113" i="2"/>
  <c r="AC28" i="2"/>
  <c r="AB29" i="2"/>
  <c r="AC29" i="2"/>
  <c r="AD33" i="2" l="1"/>
  <c r="AB9" i="2"/>
  <c r="DM19" i="4" l="1"/>
  <c r="E17" i="7"/>
  <c r="J37" i="5" l="1"/>
  <c r="K37" i="5" s="1"/>
  <c r="J36" i="5"/>
  <c r="K36" i="5" s="1"/>
  <c r="CI54" i="4" l="1"/>
  <c r="AM54" i="4"/>
  <c r="O54" i="4"/>
  <c r="AB10" i="12"/>
  <c r="BM54" i="4"/>
  <c r="EF61" i="4"/>
  <c r="EG61" i="4"/>
  <c r="EH61" i="4"/>
  <c r="EI61" i="4"/>
  <c r="EE61" i="4"/>
  <c r="DU61" i="4"/>
  <c r="DV61" i="4"/>
  <c r="DW61" i="4"/>
  <c r="DX61" i="4"/>
  <c r="DT61" i="4"/>
  <c r="DJ61" i="4" l="1"/>
  <c r="DK61" i="4"/>
  <c r="DL61" i="4"/>
  <c r="DM61" i="4"/>
  <c r="DI61" i="4"/>
  <c r="CC61" i="4"/>
  <c r="CD61" i="4"/>
  <c r="CE61" i="4"/>
  <c r="CF61" i="4"/>
  <c r="CB61" i="4"/>
  <c r="BR61" i="4"/>
  <c r="BS61" i="4"/>
  <c r="BT61" i="4"/>
  <c r="BU61" i="4"/>
  <c r="BQ61" i="4"/>
  <c r="AR61" i="4"/>
  <c r="AS61" i="4"/>
  <c r="AT61" i="4"/>
  <c r="AU61" i="4"/>
  <c r="AQ61" i="4"/>
  <c r="AG61" i="4"/>
  <c r="AH61" i="4"/>
  <c r="AI61" i="4"/>
  <c r="AJ61" i="4"/>
  <c r="AF61" i="4"/>
  <c r="T61" i="4"/>
  <c r="U61" i="4"/>
  <c r="V61" i="4"/>
  <c r="W61" i="4"/>
  <c r="S61" i="4"/>
  <c r="CY61" i="4" l="1"/>
  <c r="CZ61" i="4"/>
  <c r="DA61" i="4"/>
  <c r="DB61" i="4"/>
  <c r="CX61" i="4"/>
  <c r="CN61" i="4"/>
  <c r="CO61" i="4"/>
  <c r="CP61" i="4"/>
  <c r="CQ61" i="4"/>
  <c r="CM61" i="4"/>
  <c r="BX54" i="4" l="1"/>
  <c r="AX54" i="4"/>
  <c r="Z54" i="4"/>
  <c r="E12" i="7"/>
  <c r="E10" i="7"/>
  <c r="E23" i="7" l="1"/>
  <c r="FT52" i="4"/>
  <c r="AB26" i="12" l="1"/>
  <c r="AB23" i="12" l="1"/>
  <c r="AC15" i="12" l="1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R19" i="12"/>
  <c r="R20" i="12"/>
  <c r="R21" i="12"/>
  <c r="R22" i="12"/>
  <c r="R23" i="12"/>
  <c r="R24" i="12"/>
  <c r="R25" i="12"/>
  <c r="R26" i="12"/>
  <c r="R27" i="12"/>
  <c r="AB19" i="12"/>
  <c r="AB20" i="12"/>
  <c r="AB21" i="12"/>
  <c r="AB22" i="12"/>
  <c r="AB24" i="12"/>
  <c r="AB25" i="12"/>
  <c r="AB27" i="12"/>
  <c r="G28" i="12"/>
  <c r="H28" i="12"/>
  <c r="I28" i="12"/>
  <c r="J28" i="12"/>
  <c r="P28" i="12"/>
  <c r="Q28" i="12"/>
  <c r="R12" i="12" l="1"/>
  <c r="S46" i="12"/>
  <c r="Q46" i="12"/>
  <c r="P46" i="12"/>
  <c r="J46" i="12"/>
  <c r="I46" i="12"/>
  <c r="H46" i="12"/>
  <c r="G46" i="12"/>
  <c r="W46" i="12"/>
  <c r="V46" i="12"/>
  <c r="BC61" i="4" l="1"/>
  <c r="BC62" i="4" s="1"/>
  <c r="BD61" i="4"/>
  <c r="BD62" i="4" s="1"/>
  <c r="BE61" i="4"/>
  <c r="BF61" i="4"/>
  <c r="BG61" i="4"/>
  <c r="BH61" i="4"/>
  <c r="BI61" i="4"/>
  <c r="BJ61" i="4"/>
  <c r="BB61" i="4"/>
  <c r="A19" i="5"/>
  <c r="A17" i="5"/>
  <c r="A15" i="5"/>
  <c r="A13" i="5"/>
  <c r="AC7" i="2"/>
  <c r="AD7" i="2" s="1"/>
  <c r="AC8" i="2"/>
  <c r="AC9" i="2"/>
  <c r="AC18" i="2"/>
  <c r="AC19" i="2"/>
  <c r="AC21" i="2"/>
  <c r="AB22" i="2"/>
  <c r="AC22" i="2"/>
  <c r="AC23" i="2"/>
  <c r="AC24" i="2"/>
  <c r="AD24" i="2" s="1"/>
  <c r="AC25" i="2"/>
  <c r="AD27" i="2" s="1"/>
  <c r="AC26" i="2"/>
  <c r="AB27" i="2"/>
  <c r="AC27" i="2"/>
  <c r="AD23" i="2" l="1"/>
  <c r="AD12" i="2"/>
  <c r="BE54" i="4"/>
  <c r="BE62" i="4" s="1"/>
  <c r="BB54" i="4"/>
  <c r="BB62" i="4" s="1"/>
  <c r="AB46" i="12" l="1"/>
  <c r="A1" i="12"/>
  <c r="A1" i="10"/>
  <c r="A1" i="8"/>
  <c r="A1" i="3"/>
  <c r="A1" i="2"/>
  <c r="AB12" i="12"/>
  <c r="AB13" i="12"/>
  <c r="AB14" i="12"/>
  <c r="AB15" i="12"/>
  <c r="AB16" i="12"/>
  <c r="AB17" i="12"/>
  <c r="AB18" i="12"/>
  <c r="AA9" i="3"/>
  <c r="AA11" i="3"/>
  <c r="H38" i="5" l="1"/>
  <c r="B3" i="12"/>
  <c r="B3" i="10"/>
  <c r="B3" i="8"/>
  <c r="B3" i="3"/>
  <c r="B3" i="2"/>
  <c r="A42" i="5" l="1"/>
  <c r="D51" i="12"/>
  <c r="F28" i="7"/>
  <c r="F44" i="7" s="1"/>
  <c r="E28" i="7"/>
  <c r="E44" i="7" s="1"/>
  <c r="C28" i="7"/>
  <c r="C44" i="7" s="1"/>
  <c r="B28" i="7"/>
  <c r="B44" i="7" s="1"/>
  <c r="W28" i="12" l="1"/>
  <c r="V28" i="12"/>
  <c r="S28" i="12"/>
  <c r="R18" i="12"/>
  <c r="R17" i="12"/>
  <c r="R16" i="12"/>
  <c r="R15" i="12"/>
  <c r="AC14" i="12"/>
  <c r="R14" i="12"/>
  <c r="AC13" i="12"/>
  <c r="R13" i="12"/>
  <c r="AC12" i="12"/>
  <c r="AC11" i="12"/>
  <c r="R11" i="12"/>
  <c r="AC10" i="12"/>
  <c r="R10" i="12"/>
  <c r="AC9" i="12"/>
  <c r="R9" i="12"/>
  <c r="AD46" i="12" l="1"/>
  <c r="AC46" i="12"/>
  <c r="AB28" i="12"/>
  <c r="AC28" i="12"/>
  <c r="AD28" i="12" l="1"/>
  <c r="B5" i="7"/>
  <c r="A9" i="7"/>
  <c r="A29" i="7" s="1"/>
  <c r="A10" i="7"/>
  <c r="A30" i="7" s="1"/>
  <c r="A11" i="7"/>
  <c r="A31" i="7" s="1"/>
  <c r="A12" i="7"/>
  <c r="A32" i="7" s="1"/>
  <c r="A13" i="7"/>
  <c r="A33" i="7" s="1"/>
  <c r="A14" i="7"/>
  <c r="A34" i="7" s="1"/>
  <c r="A8" i="7"/>
  <c r="A28" i="7" s="1"/>
  <c r="AB22" i="10"/>
  <c r="V22" i="10"/>
  <c r="U22" i="10"/>
  <c r="S22" i="10"/>
  <c r="Q22" i="10"/>
  <c r="P22" i="10"/>
  <c r="J22" i="10"/>
  <c r="I22" i="10"/>
  <c r="H22" i="10"/>
  <c r="G22" i="10"/>
  <c r="AC21" i="10"/>
  <c r="R21" i="10"/>
  <c r="AC20" i="10"/>
  <c r="R20" i="10"/>
  <c r="AC19" i="10"/>
  <c r="R19" i="10"/>
  <c r="AC18" i="10"/>
  <c r="R18" i="10"/>
  <c r="AC17" i="10"/>
  <c r="R17" i="10"/>
  <c r="AC16" i="10"/>
  <c r="R16" i="10"/>
  <c r="AC15" i="10"/>
  <c r="R15" i="10"/>
  <c r="AC14" i="10"/>
  <c r="R14" i="10"/>
  <c r="AC13" i="10"/>
  <c r="R13" i="10"/>
  <c r="AC12" i="10"/>
  <c r="R12" i="10"/>
  <c r="AC11" i="10"/>
  <c r="R11" i="10"/>
  <c r="AC10" i="10"/>
  <c r="R10" i="10"/>
  <c r="AC9" i="10"/>
  <c r="R9" i="10"/>
  <c r="AC8" i="10"/>
  <c r="R8" i="10"/>
  <c r="AC7" i="10"/>
  <c r="R7" i="10"/>
  <c r="AA33" i="8"/>
  <c r="V33" i="8"/>
  <c r="U33" i="8"/>
  <c r="S33" i="8"/>
  <c r="Q33" i="8"/>
  <c r="P33" i="8"/>
  <c r="J33" i="8"/>
  <c r="I33" i="8"/>
  <c r="H33" i="8"/>
  <c r="G33" i="8"/>
  <c r="AB32" i="8"/>
  <c r="R32" i="8"/>
  <c r="AB31" i="8"/>
  <c r="R31" i="8"/>
  <c r="AB30" i="8"/>
  <c r="R30" i="8"/>
  <c r="AB29" i="8"/>
  <c r="R29" i="8"/>
  <c r="AB28" i="8"/>
  <c r="R28" i="8"/>
  <c r="AB27" i="8"/>
  <c r="R27" i="8"/>
  <c r="AB26" i="8"/>
  <c r="R26" i="8"/>
  <c r="AB25" i="8"/>
  <c r="R25" i="8"/>
  <c r="AB24" i="8"/>
  <c r="R24" i="8"/>
  <c r="AB23" i="8"/>
  <c r="R23" i="8"/>
  <c r="AB22" i="8"/>
  <c r="R22" i="8"/>
  <c r="AB21" i="8"/>
  <c r="R21" i="8"/>
  <c r="AB20" i="8"/>
  <c r="R20" i="8"/>
  <c r="AB19" i="8"/>
  <c r="R19" i="8"/>
  <c r="AB18" i="8"/>
  <c r="R18" i="8"/>
  <c r="AB17" i="8"/>
  <c r="R17" i="8"/>
  <c r="AB16" i="8"/>
  <c r="R16" i="8"/>
  <c r="AB15" i="8"/>
  <c r="R15" i="8"/>
  <c r="AB14" i="8"/>
  <c r="R14" i="8"/>
  <c r="R13" i="8"/>
  <c r="AB12" i="8"/>
  <c r="R12" i="8"/>
  <c r="AB11" i="8"/>
  <c r="R11" i="8"/>
  <c r="AB10" i="8"/>
  <c r="R10" i="8"/>
  <c r="AB9" i="8"/>
  <c r="R9" i="8"/>
  <c r="AB8" i="8"/>
  <c r="R8" i="8"/>
  <c r="AB7" i="8"/>
  <c r="AA44" i="3"/>
  <c r="V44" i="3"/>
  <c r="U44" i="3"/>
  <c r="S44" i="3"/>
  <c r="Q44" i="3"/>
  <c r="P44" i="3"/>
  <c r="J44" i="3"/>
  <c r="I44" i="3"/>
  <c r="H44" i="3"/>
  <c r="G44" i="3"/>
  <c r="AB11" i="3"/>
  <c r="R11" i="3"/>
  <c r="AB10" i="3"/>
  <c r="R10" i="3"/>
  <c r="AB9" i="3"/>
  <c r="R9" i="3"/>
  <c r="AB8" i="3"/>
  <c r="R8" i="3"/>
  <c r="AB114" i="2"/>
  <c r="W114" i="2"/>
  <c r="V114" i="2"/>
  <c r="T114" i="2"/>
  <c r="R114" i="2"/>
  <c r="Q114" i="2"/>
  <c r="K114" i="2"/>
  <c r="J114" i="2"/>
  <c r="I114" i="2"/>
  <c r="H114" i="2"/>
  <c r="FV38" i="4" l="1"/>
  <c r="FV30" i="4"/>
  <c r="AC33" i="8"/>
  <c r="AD22" i="10"/>
  <c r="D28" i="7"/>
  <c r="D44" i="7" s="1"/>
  <c r="AC22" i="10"/>
  <c r="AB33" i="8"/>
  <c r="AB44" i="3"/>
  <c r="AC114" i="2"/>
  <c r="AC44" i="3" l="1"/>
  <c r="AD25" i="10"/>
  <c r="AD26" i="10" s="1"/>
  <c r="AD31" i="10" s="1"/>
  <c r="AC36" i="8"/>
  <c r="AC37" i="8" s="1"/>
  <c r="AC42" i="8" s="1"/>
  <c r="AD324" i="1"/>
  <c r="AC47" i="3"/>
  <c r="AC48" i="3" s="1"/>
  <c r="H320" i="1"/>
  <c r="I320" i="1"/>
  <c r="J320" i="1"/>
  <c r="G320" i="1"/>
  <c r="AC53" i="3" l="1"/>
  <c r="A3" i="5"/>
  <c r="FU22" i="4"/>
  <c r="FT22" i="4"/>
  <c r="FS22" i="4"/>
  <c r="FR22" i="4"/>
  <c r="FQ22" i="4"/>
  <c r="AD65" i="4"/>
  <c r="AE54" i="4"/>
  <c r="AE62" i="4" s="1"/>
  <c r="A3" i="4"/>
  <c r="A21" i="4" l="1"/>
  <c r="FM65" i="4"/>
  <c r="FL65" i="4"/>
  <c r="FP54" i="4"/>
  <c r="FP62" i="4" s="1"/>
  <c r="FO54" i="4"/>
  <c r="FO62" i="4" s="1"/>
  <c r="FN54" i="4"/>
  <c r="FN62" i="4" s="1"/>
  <c r="FM54" i="4"/>
  <c r="FM62" i="4" s="1"/>
  <c r="FL54" i="4"/>
  <c r="FL62" i="4" s="1"/>
  <c r="FK54" i="4"/>
  <c r="FJ54" i="4"/>
  <c r="H22" i="7" s="1"/>
  <c r="FI54" i="4"/>
  <c r="FH54" i="4"/>
  <c r="J22" i="7" s="1"/>
  <c r="FG54" i="4"/>
  <c r="D22" i="7" s="1"/>
  <c r="FF54" i="4"/>
  <c r="C22" i="7" s="1"/>
  <c r="F22" i="7" s="1"/>
  <c r="EQ65" i="4"/>
  <c r="EP65" i="4"/>
  <c r="ET54" i="4"/>
  <c r="ET62" i="4" s="1"/>
  <c r="ES54" i="4"/>
  <c r="ES62" i="4" s="1"/>
  <c r="ER54" i="4"/>
  <c r="ER62" i="4" s="1"/>
  <c r="EP54" i="4"/>
  <c r="EP62" i="4" s="1"/>
  <c r="EO54" i="4"/>
  <c r="EN54" i="4"/>
  <c r="EM54" i="4"/>
  <c r="EL54" i="4"/>
  <c r="EK54" i="4"/>
  <c r="EJ54" i="4"/>
  <c r="EF65" i="4"/>
  <c r="EE65" i="4"/>
  <c r="EI54" i="4"/>
  <c r="EI62" i="4" s="1"/>
  <c r="EH54" i="4"/>
  <c r="EH62" i="4" s="1"/>
  <c r="EG54" i="4"/>
  <c r="EG62" i="4" s="1"/>
  <c r="EF54" i="4"/>
  <c r="EF62" i="4" s="1"/>
  <c r="EE54" i="4"/>
  <c r="EE62" i="4" s="1"/>
  <c r="ED54" i="4"/>
  <c r="EC54" i="4"/>
  <c r="EB54" i="4"/>
  <c r="EA54" i="4"/>
  <c r="DZ54" i="4"/>
  <c r="DY54" i="4"/>
  <c r="DU65" i="4"/>
  <c r="DT65" i="4"/>
  <c r="DX54" i="4"/>
  <c r="DX62" i="4" s="1"/>
  <c r="DW54" i="4"/>
  <c r="DW62" i="4" s="1"/>
  <c r="DV54" i="4"/>
  <c r="DV62" i="4" s="1"/>
  <c r="DU54" i="4"/>
  <c r="DU62" i="4" s="1"/>
  <c r="DT54" i="4"/>
  <c r="DT62" i="4" s="1"/>
  <c r="DS54" i="4"/>
  <c r="DX55" i="4" s="1"/>
  <c r="DR54" i="4"/>
  <c r="DQ54" i="4"/>
  <c r="DP54" i="4"/>
  <c r="DO54" i="4"/>
  <c r="DN54" i="4"/>
  <c r="DJ65" i="4"/>
  <c r="DI65" i="4"/>
  <c r="DM54" i="4"/>
  <c r="DM62" i="4" s="1"/>
  <c r="DL54" i="4"/>
  <c r="DL62" i="4" s="1"/>
  <c r="DK54" i="4"/>
  <c r="DK62" i="4" s="1"/>
  <c r="DJ54" i="4"/>
  <c r="DJ62" i="4" s="1"/>
  <c r="DI54" i="4"/>
  <c r="DI62" i="4" s="1"/>
  <c r="DH54" i="4"/>
  <c r="DG54" i="4"/>
  <c r="DF54" i="4"/>
  <c r="DE54" i="4"/>
  <c r="DD54" i="4"/>
  <c r="DC54" i="4"/>
  <c r="CY65" i="4"/>
  <c r="CX65" i="4"/>
  <c r="DB54" i="4"/>
  <c r="DB62" i="4" s="1"/>
  <c r="DA54" i="4"/>
  <c r="DA62" i="4" s="1"/>
  <c r="CZ54" i="4"/>
  <c r="CZ62" i="4" s="1"/>
  <c r="CX54" i="4"/>
  <c r="CX62" i="4" s="1"/>
  <c r="CV54" i="4"/>
  <c r="CU54" i="4"/>
  <c r="CT54" i="4"/>
  <c r="CS54" i="4"/>
  <c r="CR54" i="4"/>
  <c r="CN65" i="4"/>
  <c r="CM65" i="4"/>
  <c r="CQ54" i="4"/>
  <c r="CQ62" i="4" s="1"/>
  <c r="CP54" i="4"/>
  <c r="CP62" i="4" s="1"/>
  <c r="CO54" i="4"/>
  <c r="CO62" i="4" s="1"/>
  <c r="CM54" i="4"/>
  <c r="CM62" i="4" s="1"/>
  <c r="CK54" i="4"/>
  <c r="CJ54" i="4"/>
  <c r="CH54" i="4"/>
  <c r="CG54" i="4"/>
  <c r="CC65" i="4"/>
  <c r="CB65" i="4"/>
  <c r="CF54" i="4"/>
  <c r="CF62" i="4" s="1"/>
  <c r="CD54" i="4"/>
  <c r="CD62" i="4" s="1"/>
  <c r="CB54" i="4"/>
  <c r="CB62" i="4" s="1"/>
  <c r="BZ54" i="4"/>
  <c r="BY54" i="4"/>
  <c r="BW54" i="4"/>
  <c r="BV54" i="4"/>
  <c r="BR65" i="4"/>
  <c r="BU54" i="4"/>
  <c r="BU62" i="4" s="1"/>
  <c r="BT54" i="4"/>
  <c r="BT62" i="4" s="1"/>
  <c r="BS54" i="4"/>
  <c r="BS62" i="4" s="1"/>
  <c r="BO54" i="4"/>
  <c r="BL54" i="4"/>
  <c r="BK54" i="4"/>
  <c r="EI55" i="4" l="1"/>
  <c r="D31" i="5" s="1"/>
  <c r="DM55" i="4"/>
  <c r="D27" i="5" s="1"/>
  <c r="ET55" i="4"/>
  <c r="D33" i="5" s="1"/>
  <c r="FP55" i="4"/>
  <c r="G22" i="7"/>
  <c r="K22" i="7" s="1"/>
  <c r="D29" i="5"/>
  <c r="FP63" i="4"/>
  <c r="FL67" i="4" s="1"/>
  <c r="K35" i="5" s="1"/>
  <c r="EI63" i="4"/>
  <c r="EE67" i="4" s="1"/>
  <c r="J31" i="5" s="1"/>
  <c r="K31" i="5" s="1"/>
  <c r="DX63" i="4"/>
  <c r="DT67" i="4" s="1"/>
  <c r="J29" i="5" s="1"/>
  <c r="K29" i="5" s="1"/>
  <c r="DM63" i="4"/>
  <c r="DI67" i="4" s="1"/>
  <c r="J27" i="5" s="1"/>
  <c r="K27" i="5" s="1"/>
  <c r="M27" i="5" l="1"/>
  <c r="DM56" i="4"/>
  <c r="FP56" i="4"/>
  <c r="ET56" i="4"/>
  <c r="EI56" i="4"/>
  <c r="DX56" i="4"/>
  <c r="FR23" i="4"/>
  <c r="FR24" i="4"/>
  <c r="FR25" i="4"/>
  <c r="FR26" i="4"/>
  <c r="FR27" i="4"/>
  <c r="FR28" i="4"/>
  <c r="FR29" i="4"/>
  <c r="FR30" i="4"/>
  <c r="FR31" i="4"/>
  <c r="FR32" i="4"/>
  <c r="FR33" i="4"/>
  <c r="FR34" i="4"/>
  <c r="FR35" i="4"/>
  <c r="FR36" i="4"/>
  <c r="FR37" i="4"/>
  <c r="FR38" i="4"/>
  <c r="FR39" i="4"/>
  <c r="FR40" i="4"/>
  <c r="FR41" i="4"/>
  <c r="FR42" i="4"/>
  <c r="FR43" i="4"/>
  <c r="FR44" i="4"/>
  <c r="FR45" i="4"/>
  <c r="FR46" i="4"/>
  <c r="FR47" i="4"/>
  <c r="FR48" i="4"/>
  <c r="FR49" i="4"/>
  <c r="FR50" i="4"/>
  <c r="FR51" i="4"/>
  <c r="FR52" i="4"/>
  <c r="FR53" i="4"/>
  <c r="D20" i="7"/>
  <c r="D19" i="7"/>
  <c r="D18" i="7"/>
  <c r="D17" i="7"/>
  <c r="D16" i="7"/>
  <c r="D15" i="7"/>
  <c r="D14" i="7"/>
  <c r="D13" i="7"/>
  <c r="AW54" i="4"/>
  <c r="D12" i="7" s="1"/>
  <c r="AL54" i="4"/>
  <c r="D11" i="7" s="1"/>
  <c r="Y54" i="4"/>
  <c r="D10" i="7" s="1"/>
  <c r="N54" i="4"/>
  <c r="D9" i="7" s="1"/>
  <c r="C54" i="4"/>
  <c r="D8" i="7" s="1"/>
  <c r="D23" i="7" l="1"/>
  <c r="FR54" i="4"/>
  <c r="P320" i="1" l="1"/>
  <c r="FS55" i="4" s="1"/>
  <c r="FT55" i="4"/>
  <c r="V320" i="1" l="1"/>
  <c r="CE54" i="4" l="1"/>
  <c r="CE62" i="4" s="1"/>
  <c r="W320" i="1" l="1"/>
  <c r="AY54" i="4" l="1"/>
  <c r="G12" i="7" s="1"/>
  <c r="AN54" i="4"/>
  <c r="G11" i="7" s="1"/>
  <c r="FU50" i="4"/>
  <c r="FT48" i="4"/>
  <c r="FT45" i="4"/>
  <c r="G16" i="7"/>
  <c r="FU40" i="4"/>
  <c r="FU36" i="4"/>
  <c r="F54" i="4"/>
  <c r="H8" i="7" s="1"/>
  <c r="E54" i="4"/>
  <c r="G8" i="7" s="1"/>
  <c r="FT34" i="4"/>
  <c r="FT33" i="4"/>
  <c r="FQ26" i="4"/>
  <c r="G15" i="7"/>
  <c r="FT24" i="4"/>
  <c r="X54" i="4"/>
  <c r="C10" i="7" s="1"/>
  <c r="AD54" i="4"/>
  <c r="AD62" i="4" s="1"/>
  <c r="FU34" i="4"/>
  <c r="AS54" i="4"/>
  <c r="AS62" i="4" s="1"/>
  <c r="FU45" i="4"/>
  <c r="FT44" i="4"/>
  <c r="FU42" i="4"/>
  <c r="J14" i="7"/>
  <c r="BJ54" i="4"/>
  <c r="BJ62" i="4" s="1"/>
  <c r="I54" i="4"/>
  <c r="I62" i="4" s="1"/>
  <c r="FU49" i="4"/>
  <c r="C17" i="7"/>
  <c r="C15" i="7"/>
  <c r="C14" i="7"/>
  <c r="C13" i="7"/>
  <c r="M54" i="4"/>
  <c r="C9" i="7" s="1"/>
  <c r="AK54" i="4"/>
  <c r="C11" i="7" s="1"/>
  <c r="B54" i="4"/>
  <c r="C33" i="5"/>
  <c r="B31" i="5"/>
  <c r="BC65" i="4"/>
  <c r="BB65" i="4"/>
  <c r="AR65" i="4"/>
  <c r="AE65" i="4"/>
  <c r="H20" i="7"/>
  <c r="G20" i="7"/>
  <c r="J20" i="7"/>
  <c r="C20" i="7"/>
  <c r="H19" i="7"/>
  <c r="G19" i="7"/>
  <c r="J19" i="7"/>
  <c r="C19" i="7"/>
  <c r="B33" i="5"/>
  <c r="H18" i="7"/>
  <c r="G18" i="7"/>
  <c r="J18" i="7"/>
  <c r="C18" i="7"/>
  <c r="J17" i="7"/>
  <c r="J16" i="7"/>
  <c r="C16" i="7"/>
  <c r="J15" i="7"/>
  <c r="J13" i="7"/>
  <c r="BI54" i="4"/>
  <c r="BI62" i="4" s="1"/>
  <c r="J12" i="7"/>
  <c r="J11" i="7"/>
  <c r="J9" i="7"/>
  <c r="J10" i="7"/>
  <c r="D54" i="4"/>
  <c r="J8" i="7" s="1"/>
  <c r="AV54" i="4"/>
  <c r="C12" i="7" s="1"/>
  <c r="AJ54" i="4"/>
  <c r="AJ62" i="4" s="1"/>
  <c r="AI54" i="4"/>
  <c r="AI62" i="4" s="1"/>
  <c r="W54" i="4"/>
  <c r="L54" i="4"/>
  <c r="L62" i="4" s="1"/>
  <c r="K54" i="4"/>
  <c r="K62" i="4" s="1"/>
  <c r="J54" i="4"/>
  <c r="J62" i="4" s="1"/>
  <c r="FV53" i="4"/>
  <c r="FW53" i="4" s="1"/>
  <c r="FU53" i="4"/>
  <c r="FT53" i="4"/>
  <c r="FS53" i="4"/>
  <c r="FQ53" i="4"/>
  <c r="FS52" i="4"/>
  <c r="FQ52" i="4"/>
  <c r="FU51" i="4"/>
  <c r="FT51" i="4"/>
  <c r="FS51" i="4"/>
  <c r="FQ51" i="4"/>
  <c r="FS50" i="4"/>
  <c r="FQ50" i="4"/>
  <c r="FS49" i="4"/>
  <c r="FQ49" i="4"/>
  <c r="FS48" i="4"/>
  <c r="FQ48" i="4"/>
  <c r="FS47" i="4"/>
  <c r="FQ47" i="4"/>
  <c r="FT46" i="4"/>
  <c r="FS46" i="4"/>
  <c r="FQ46" i="4"/>
  <c r="FS45" i="4"/>
  <c r="FQ45" i="4"/>
  <c r="FS44" i="4"/>
  <c r="FQ44" i="4"/>
  <c r="FT43" i="4"/>
  <c r="FS43" i="4"/>
  <c r="FQ43" i="4"/>
  <c r="FS42" i="4"/>
  <c r="FQ42" i="4"/>
  <c r="FS41" i="4"/>
  <c r="FQ41" i="4"/>
  <c r="FS40" i="4"/>
  <c r="FQ40" i="4"/>
  <c r="FS39" i="4"/>
  <c r="FQ39" i="4"/>
  <c r="FQ38" i="4"/>
  <c r="FQ37" i="4"/>
  <c r="FS36" i="4"/>
  <c r="FQ36" i="4"/>
  <c r="FS35" i="4"/>
  <c r="FQ35" i="4"/>
  <c r="FS34" i="4"/>
  <c r="FQ34" i="4"/>
  <c r="FS33" i="4"/>
  <c r="FQ33" i="4"/>
  <c r="FS32" i="4"/>
  <c r="FQ32" i="4"/>
  <c r="FS31" i="4"/>
  <c r="FQ31" i="4"/>
  <c r="FQ30" i="4"/>
  <c r="FS29" i="4"/>
  <c r="FQ29" i="4"/>
  <c r="FS28" i="4"/>
  <c r="FQ28" i="4"/>
  <c r="FS27" i="4"/>
  <c r="FQ27" i="4"/>
  <c r="FS26" i="4"/>
  <c r="FS25" i="4"/>
  <c r="FQ25" i="4"/>
  <c r="FS24" i="4"/>
  <c r="FQ24" i="4"/>
  <c r="FS23" i="4"/>
  <c r="FQ23" i="4"/>
  <c r="FU52" i="4"/>
  <c r="FU44" i="4"/>
  <c r="FT42" i="4"/>
  <c r="FT50" i="4"/>
  <c r="FU47" i="4"/>
  <c r="FU46" i="4"/>
  <c r="FU33" i="4"/>
  <c r="FT40" i="4"/>
  <c r="FT47" i="4"/>
  <c r="Q54" i="4"/>
  <c r="H9" i="7" s="1"/>
  <c r="FT28" i="4"/>
  <c r="FU35" i="4"/>
  <c r="BH54" i="4"/>
  <c r="BH62" i="4" s="1"/>
  <c r="FT35" i="4"/>
  <c r="FU28" i="4"/>
  <c r="G17" i="7"/>
  <c r="FT25" i="4"/>
  <c r="FT27" i="4"/>
  <c r="H17" i="7"/>
  <c r="FV52" i="4"/>
  <c r="FW52" i="4" s="1"/>
  <c r="J23" i="7" l="1"/>
  <c r="K8" i="7"/>
  <c r="AT54" i="4"/>
  <c r="AT62" i="4" s="1"/>
  <c r="FV40" i="4"/>
  <c r="FW40" i="4" s="1"/>
  <c r="AH54" i="4"/>
  <c r="AH62" i="4" s="1"/>
  <c r="CC62" i="4"/>
  <c r="CA54" i="4"/>
  <c r="CF55" i="4" s="1"/>
  <c r="U54" i="4"/>
  <c r="BQ54" i="4"/>
  <c r="BQ62" i="4" s="1"/>
  <c r="C8" i="7"/>
  <c r="F8" i="7" s="1"/>
  <c r="FS54" i="4"/>
  <c r="FS58" i="4" s="1"/>
  <c r="FV22" i="4"/>
  <c r="FW22" i="4" s="1"/>
  <c r="FQ54" i="4"/>
  <c r="K19" i="7"/>
  <c r="K20" i="7"/>
  <c r="FV51" i="4"/>
  <c r="FW51" i="4" s="1"/>
  <c r="FV46" i="4"/>
  <c r="FW46" i="4" s="1"/>
  <c r="FV47" i="4"/>
  <c r="FW47" i="4" s="1"/>
  <c r="AU54" i="4"/>
  <c r="AU62" i="4" s="1"/>
  <c r="K18" i="7"/>
  <c r="K17" i="7"/>
  <c r="S54" i="4"/>
  <c r="K12" i="7"/>
  <c r="F17" i="7"/>
  <c r="K15" i="7"/>
  <c r="F18" i="7"/>
  <c r="F19" i="7"/>
  <c r="F20" i="7"/>
  <c r="F15" i="7"/>
  <c r="FU43" i="4"/>
  <c r="FT41" i="4"/>
  <c r="FU31" i="4"/>
  <c r="FT32" i="4"/>
  <c r="FU25" i="4"/>
  <c r="FT26" i="4"/>
  <c r="FU27" i="4"/>
  <c r="FT29" i="4"/>
  <c r="FU29" i="4"/>
  <c r="AO54" i="4"/>
  <c r="H11" i="7" s="1"/>
  <c r="I11" i="7" s="1"/>
  <c r="G14" i="7"/>
  <c r="FU23" i="4"/>
  <c r="FU48" i="4"/>
  <c r="FT36" i="4"/>
  <c r="AA54" i="4"/>
  <c r="G10" i="7" s="1"/>
  <c r="K10" i="7" s="1"/>
  <c r="FV50" i="4"/>
  <c r="FW50" i="4" s="1"/>
  <c r="P54" i="4"/>
  <c r="G9" i="7" s="1"/>
  <c r="FU26" i="4"/>
  <c r="FV43" i="4"/>
  <c r="FW43" i="4" s="1"/>
  <c r="F16" i="7"/>
  <c r="FT49" i="4"/>
  <c r="K11" i="7"/>
  <c r="FT23" i="4"/>
  <c r="G13" i="7"/>
  <c r="FU24" i="4"/>
  <c r="AZ54" i="4"/>
  <c r="H12" i="7" s="1"/>
  <c r="I12" i="7" s="1"/>
  <c r="FU41" i="4"/>
  <c r="H16" i="7"/>
  <c r="H13" i="7"/>
  <c r="FU32" i="4"/>
  <c r="K16" i="7"/>
  <c r="I8" i="7"/>
  <c r="H15" i="7"/>
  <c r="I15" i="7" s="1"/>
  <c r="G54" i="4"/>
  <c r="H54" i="4"/>
  <c r="C23" i="7" l="1"/>
  <c r="F23" i="7" s="1"/>
  <c r="G23" i="7"/>
  <c r="M21" i="5"/>
  <c r="I16" i="7"/>
  <c r="H62" i="4"/>
  <c r="L63" i="4" s="1"/>
  <c r="H71" i="4" s="1"/>
  <c r="CF63" i="4"/>
  <c r="CB67" i="4" s="1"/>
  <c r="J21" i="5" s="1"/>
  <c r="K21" i="5" s="1"/>
  <c r="BG54" i="4"/>
  <c r="BG62" i="4" s="1"/>
  <c r="AG54" i="4"/>
  <c r="AG62" i="4" s="1"/>
  <c r="FV34" i="4"/>
  <c r="FW34" i="4" s="1"/>
  <c r="CY54" i="4"/>
  <c r="CW54" i="4"/>
  <c r="DB55" i="4" s="1"/>
  <c r="M25" i="5" s="1"/>
  <c r="FT54" i="4"/>
  <c r="FT58" i="4" s="1"/>
  <c r="K9" i="7"/>
  <c r="I9" i="7"/>
  <c r="L31" i="5"/>
  <c r="FW37" i="4"/>
  <c r="FV49" i="4"/>
  <c r="FW49" i="4" s="1"/>
  <c r="FV45" i="4"/>
  <c r="FW45" i="4" s="1"/>
  <c r="FV35" i="4"/>
  <c r="FW35" i="4" s="1"/>
  <c r="AF54" i="4"/>
  <c r="AF62" i="4" s="1"/>
  <c r="FW38" i="4"/>
  <c r="FV42" i="4"/>
  <c r="FW42" i="4" s="1"/>
  <c r="BA54" i="4"/>
  <c r="BJ55" i="4" s="1"/>
  <c r="FV23" i="4"/>
  <c r="FV27" i="4"/>
  <c r="FW27" i="4" s="1"/>
  <c r="FV29" i="4"/>
  <c r="FW29" i="4" s="1"/>
  <c r="H14" i="7"/>
  <c r="I14" i="7" s="1"/>
  <c r="K14" i="7"/>
  <c r="AB54" i="4"/>
  <c r="H10" i="7" s="1"/>
  <c r="R54" i="4"/>
  <c r="W55" i="4" s="1"/>
  <c r="FV48" i="4"/>
  <c r="FW48" i="4" s="1"/>
  <c r="AQ54" i="4"/>
  <c r="AQ62" i="4" s="1"/>
  <c r="AP54" i="4"/>
  <c r="AB320" i="1"/>
  <c r="FV24" i="4"/>
  <c r="FW24" i="4" s="1"/>
  <c r="AR54" i="4"/>
  <c r="AR62" i="4" s="1"/>
  <c r="FV25" i="4"/>
  <c r="FW25" i="4" s="1"/>
  <c r="I13" i="7"/>
  <c r="K13" i="7"/>
  <c r="FV36" i="4"/>
  <c r="FW36" i="4" s="1"/>
  <c r="FV32" i="4"/>
  <c r="FW32" i="4" s="1"/>
  <c r="AC54" i="4"/>
  <c r="FV31" i="4"/>
  <c r="FW31" i="4" s="1"/>
  <c r="FV26" i="4"/>
  <c r="FW26" i="4" s="1"/>
  <c r="FV44" i="4"/>
  <c r="FW44" i="4" s="1"/>
  <c r="FV41" i="4"/>
  <c r="FW41" i="4" s="1"/>
  <c r="AJ55" i="4" l="1"/>
  <c r="D13" i="5" s="1"/>
  <c r="AU55" i="4"/>
  <c r="M15" i="5" s="1"/>
  <c r="M17" i="5"/>
  <c r="I10" i="7"/>
  <c r="H23" i="7"/>
  <c r="K23" i="7" s="1"/>
  <c r="M11" i="5"/>
  <c r="DB56" i="4"/>
  <c r="AU63" i="4"/>
  <c r="AQ67" i="4" s="1"/>
  <c r="J15" i="5" s="1"/>
  <c r="BJ63" i="4"/>
  <c r="BJ56" i="4"/>
  <c r="CF56" i="4"/>
  <c r="B21" i="5" s="1"/>
  <c r="D21" i="5"/>
  <c r="BU63" i="4"/>
  <c r="CY62" i="4"/>
  <c r="DB63" i="4" s="1"/>
  <c r="CX67" i="4" s="1"/>
  <c r="J25" i="5" s="1"/>
  <c r="AJ63" i="4"/>
  <c r="AD67" i="4" s="1"/>
  <c r="J13" i="5" s="1"/>
  <c r="K13" i="5" s="1"/>
  <c r="D25" i="5"/>
  <c r="FU54" i="4"/>
  <c r="FV28" i="4"/>
  <c r="FW28" i="4" s="1"/>
  <c r="BP54" i="4"/>
  <c r="BU55" i="4" s="1"/>
  <c r="FW23" i="4"/>
  <c r="L29" i="5"/>
  <c r="L21" i="5"/>
  <c r="FW30" i="4"/>
  <c r="B27" i="5"/>
  <c r="FW39" i="4"/>
  <c r="AU56" i="4" l="1"/>
  <c r="B15" i="5" s="1"/>
  <c r="D15" i="5"/>
  <c r="BQ67" i="4"/>
  <c r="J19" i="5" s="1"/>
  <c r="K19" i="5" s="1"/>
  <c r="L19" i="5" s="1"/>
  <c r="M13" i="5"/>
  <c r="AJ56" i="4"/>
  <c r="B13" i="5" s="1"/>
  <c r="I23" i="7"/>
  <c r="W56" i="4"/>
  <c r="B11" i="5" s="1"/>
  <c r="D11" i="5"/>
  <c r="BU56" i="4"/>
  <c r="B19" i="5" s="1"/>
  <c r="K25" i="5"/>
  <c r="L25" i="5" s="1"/>
  <c r="K15" i="5"/>
  <c r="L15" i="5" s="1"/>
  <c r="BB67" i="4"/>
  <c r="J17" i="5" s="1"/>
  <c r="K17" i="5" s="1"/>
  <c r="L11" i="5"/>
  <c r="F14" i="7"/>
  <c r="F13" i="7"/>
  <c r="F11" i="7"/>
  <c r="F10" i="7"/>
  <c r="F12" i="7"/>
  <c r="B17" i="5"/>
  <c r="D17" i="5"/>
  <c r="L13" i="5"/>
  <c r="L27" i="5"/>
  <c r="B25" i="5"/>
  <c r="M19" i="5" l="1"/>
  <c r="D19" i="5"/>
  <c r="F9" i="7"/>
  <c r="L17" i="5" l="1"/>
  <c r="L9" i="5"/>
  <c r="AD114" i="2" l="1"/>
  <c r="D13" i="11"/>
  <c r="D57" i="11"/>
  <c r="D79" i="11"/>
  <c r="D99" i="11"/>
  <c r="D63" i="11"/>
  <c r="D104" i="11"/>
  <c r="D32" i="11"/>
  <c r="D66" i="11"/>
  <c r="D52" i="11"/>
  <c r="D29" i="11"/>
  <c r="D43" i="11"/>
  <c r="D109" i="11"/>
  <c r="D85" i="11"/>
  <c r="D34" i="11"/>
  <c r="D37" i="11"/>
  <c r="D58" i="11"/>
  <c r="I3" i="11"/>
  <c r="D23" i="11"/>
  <c r="D56" i="11"/>
  <c r="D77" i="11"/>
  <c r="D61" i="11"/>
  <c r="D72" i="11"/>
  <c r="D97" i="11"/>
  <c r="D106" i="11"/>
  <c r="D88" i="11"/>
  <c r="D44" i="11"/>
  <c r="I4" i="11"/>
  <c r="D17" i="11"/>
  <c r="I2" i="11"/>
  <c r="D14" i="11"/>
  <c r="D10" i="11"/>
  <c r="D22" i="11"/>
  <c r="D75" i="11"/>
  <c r="D3" i="11"/>
  <c r="D41" i="11"/>
  <c r="D12" i="11"/>
  <c r="D54" i="11"/>
  <c r="D95" i="11"/>
  <c r="D73" i="11"/>
  <c r="D107" i="11"/>
  <c r="D65" i="11"/>
  <c r="D36" i="11"/>
  <c r="D20" i="11"/>
  <c r="D78" i="11"/>
  <c r="D55" i="11"/>
  <c r="D47" i="11"/>
  <c r="D102" i="11"/>
  <c r="D51" i="11"/>
  <c r="D60" i="11"/>
  <c r="D19" i="11"/>
  <c r="D35" i="11"/>
  <c r="D96" i="11"/>
  <c r="D49" i="11"/>
  <c r="D86" i="11"/>
  <c r="D40" i="11"/>
  <c r="D5" i="11"/>
  <c r="D11" i="11"/>
  <c r="D42" i="11"/>
  <c r="D46" i="11"/>
  <c r="D25" i="11"/>
  <c r="D16" i="11"/>
  <c r="D26" i="11"/>
  <c r="D24" i="11"/>
  <c r="D2" i="11"/>
  <c r="D18" i="11"/>
  <c r="D38" i="11"/>
  <c r="D94" i="11"/>
  <c r="D59" i="11"/>
  <c r="D103" i="11"/>
  <c r="D48" i="11"/>
  <c r="D76" i="11"/>
  <c r="D62" i="11"/>
  <c r="D92" i="11"/>
  <c r="D45" i="11"/>
  <c r="D70" i="11"/>
  <c r="D53" i="11"/>
  <c r="D69" i="11"/>
  <c r="D71" i="11"/>
  <c r="D33" i="11"/>
  <c r="D89" i="11"/>
  <c r="D90" i="11"/>
  <c r="D4" i="11"/>
  <c r="D50" i="11"/>
  <c r="D84" i="11"/>
  <c r="D15" i="11"/>
  <c r="D64" i="11"/>
  <c r="D98" i="11"/>
  <c r="D7" i="11"/>
  <c r="D27" i="11"/>
  <c r="D21" i="11"/>
  <c r="D80" i="11"/>
  <c r="D93" i="11"/>
  <c r="D91" i="11"/>
  <c r="D8" i="11"/>
  <c r="D39" i="11"/>
  <c r="D105" i="11"/>
  <c r="D83" i="11"/>
  <c r="D30" i="11"/>
  <c r="D28" i="11"/>
  <c r="D74" i="11"/>
  <c r="D100" i="11"/>
  <c r="D67" i="11"/>
  <c r="D9" i="11"/>
  <c r="D82" i="11"/>
  <c r="D31" i="11"/>
  <c r="D81" i="11"/>
  <c r="D101" i="11"/>
  <c r="D108" i="11"/>
  <c r="D68" i="11"/>
  <c r="D87" i="11"/>
  <c r="D6" i="11"/>
  <c r="EQ54" i="4"/>
  <c r="EQ62" i="4" s="1"/>
  <c r="ET63" i="4" s="1"/>
  <c r="EP67" i="4" s="1"/>
  <c r="J33" i="5" s="1"/>
  <c r="K33" i="5" s="1"/>
  <c r="L33" i="5" s="1"/>
  <c r="S320" i="1"/>
  <c r="FU55" i="4" s="1"/>
  <c r="FU58" i="4" s="1"/>
  <c r="R185" i="1"/>
  <c r="AC185" i="1"/>
  <c r="AC320" i="1"/>
  <c r="AD323" i="1" s="1"/>
  <c r="AD325" i="1" s="1"/>
  <c r="CN54" i="4" l="1"/>
  <c r="CN62" i="4" s="1"/>
  <c r="CQ63" i="4" s="1"/>
  <c r="CM67" i="4" s="1"/>
  <c r="J23" i="5" s="1"/>
  <c r="D49" i="12"/>
  <c r="D50" i="12" s="1"/>
  <c r="D52" i="12" s="1"/>
  <c r="AD326" i="1"/>
  <c r="AD328" i="1"/>
  <c r="FV55" i="4"/>
  <c r="FV33" i="4" l="1"/>
  <c r="CL54" i="4"/>
  <c r="CQ55" i="4" s="1"/>
  <c r="K23" i="5"/>
  <c r="J38" i="5"/>
  <c r="AD332" i="1"/>
  <c r="AD329" i="1"/>
  <c r="L55" i="4"/>
  <c r="J1" i="5"/>
  <c r="L23" i="5" l="1"/>
  <c r="L38" i="5" s="1"/>
  <c r="K38" i="5"/>
  <c r="D23" i="5"/>
  <c r="CQ56" i="4"/>
  <c r="B23" i="5" s="1"/>
  <c r="M23" i="5"/>
  <c r="FW33" i="4"/>
  <c r="FW54" i="4" s="1"/>
  <c r="FW58" i="4" s="1"/>
  <c r="FV54" i="4"/>
  <c r="CQ57" i="4" s="1"/>
  <c r="C23" i="5" s="1"/>
  <c r="M9" i="5"/>
  <c r="D9" i="5"/>
  <c r="J3" i="5"/>
  <c r="L56" i="4"/>
  <c r="C9" i="5" s="1"/>
  <c r="W57" i="4" l="1"/>
  <c r="C11" i="5" s="1"/>
  <c r="AU57" i="4"/>
  <c r="C15" i="5" s="1"/>
  <c r="DM57" i="4"/>
  <c r="C27" i="5" s="1"/>
  <c r="BU57" i="4"/>
  <c r="C19" i="5" s="1"/>
  <c r="DB57" i="4"/>
  <c r="C25" i="5" s="1"/>
  <c r="BJ57" i="4"/>
  <c r="C17" i="5" s="1"/>
  <c r="FP57" i="4"/>
  <c r="C35" i="5" s="1"/>
  <c r="AJ57" i="4"/>
  <c r="C13" i="5" s="1"/>
  <c r="ET57" i="4"/>
  <c r="EI57" i="4"/>
  <c r="C31" i="5" s="1"/>
  <c r="FE57" i="4"/>
  <c r="DX57" i="4"/>
  <c r="CF57" i="4"/>
  <c r="C21" i="5" s="1"/>
  <c r="FV58" i="4"/>
  <c r="C29" i="5" l="1"/>
  <c r="B29" i="5"/>
  <c r="AD320" i="1"/>
</calcChain>
</file>

<file path=xl/comments1.xml><?xml version="1.0" encoding="utf-8"?>
<comments xmlns="http://schemas.openxmlformats.org/spreadsheetml/2006/main">
  <authors>
    <author>Bvlgari-PI</author>
  </authors>
  <commentList>
    <comment ref="AG5" authorId="0" shapeId="0">
      <text>
        <r>
          <rPr>
            <b/>
            <sz val="9"/>
            <rFont val="Times New Roman"/>
            <family val="1"/>
          </rPr>
          <t>Bvlgari-PI:</t>
        </r>
        <r>
          <rPr>
            <sz val="9"/>
            <rFont val="Times New Roman"/>
            <family val="1"/>
          </rPr>
          <t xml:space="preserve">
</t>
        </r>
        <r>
          <rPr>
            <sz val="12"/>
            <rFont val="Times New Roman"/>
            <family val="1"/>
          </rPr>
          <t>DIISI OLEH PIC</t>
        </r>
      </text>
    </comment>
  </commentList>
</comments>
</file>

<file path=xl/comments2.xml><?xml version="1.0" encoding="utf-8"?>
<comments xmlns="http://schemas.openxmlformats.org/spreadsheetml/2006/main">
  <authors>
    <author>Bvlgari-PI</author>
  </authors>
  <commentList>
    <comment ref="AG5" authorId="0" shapeId="0">
      <text>
        <r>
          <rPr>
            <b/>
            <sz val="9"/>
            <rFont val="Times New Roman"/>
            <family val="1"/>
          </rPr>
          <t>Bvlgari-PI:</t>
        </r>
        <r>
          <rPr>
            <sz val="9"/>
            <rFont val="Times New Roman"/>
            <family val="1"/>
          </rPr>
          <t xml:space="preserve">
</t>
        </r>
        <r>
          <rPr>
            <sz val="12"/>
            <rFont val="Times New Roman"/>
            <family val="1"/>
          </rPr>
          <t>DIISI OLEH PIC</t>
        </r>
      </text>
    </comment>
  </commentList>
</comments>
</file>

<file path=xl/comments3.xml><?xml version="1.0" encoding="utf-8"?>
<comments xmlns="http://schemas.openxmlformats.org/spreadsheetml/2006/main">
  <authors>
    <author>Bvlgari-PI</author>
  </authors>
  <commentList>
    <comment ref="AF5" authorId="0" shapeId="0">
      <text>
        <r>
          <rPr>
            <b/>
            <sz val="9"/>
            <rFont val="Times New Roman"/>
            <family val="1"/>
          </rPr>
          <t>Bvlgari-PI:</t>
        </r>
        <r>
          <rPr>
            <sz val="9"/>
            <rFont val="Times New Roman"/>
            <family val="1"/>
          </rPr>
          <t xml:space="preserve">
</t>
        </r>
        <r>
          <rPr>
            <sz val="12"/>
            <rFont val="Times New Roman"/>
            <family val="1"/>
          </rPr>
          <t>DIISI OLEH PIC</t>
        </r>
      </text>
    </comment>
  </commentList>
</comments>
</file>

<file path=xl/comments4.xml><?xml version="1.0" encoding="utf-8"?>
<comments xmlns="http://schemas.openxmlformats.org/spreadsheetml/2006/main">
  <authors>
    <author>Bvlgari-PI</author>
  </authors>
  <commentList>
    <comment ref="AG5" authorId="0" shapeId="0">
      <text>
        <r>
          <rPr>
            <b/>
            <sz val="9"/>
            <rFont val="Times New Roman"/>
            <family val="1"/>
          </rPr>
          <t>Bvlgari-PI:</t>
        </r>
        <r>
          <rPr>
            <sz val="9"/>
            <rFont val="Times New Roman"/>
            <family val="1"/>
          </rPr>
          <t xml:space="preserve">
</t>
        </r>
        <r>
          <rPr>
            <sz val="12"/>
            <rFont val="Times New Roman"/>
            <family val="1"/>
          </rPr>
          <t>DIISI OLEH PIC</t>
        </r>
      </text>
    </comment>
  </commentList>
</comments>
</file>

<file path=xl/comments5.xml><?xml version="1.0" encoding="utf-8"?>
<comments xmlns="http://schemas.openxmlformats.org/spreadsheetml/2006/main">
  <authors>
    <author>Bvlgari-PI</author>
    <author xml:space="preserve"> </author>
  </authors>
  <commentList>
    <comment ref="AG7" authorId="0" shapeId="0">
      <text>
        <r>
          <rPr>
            <b/>
            <sz val="9"/>
            <rFont val="Times New Roman"/>
            <family val="1"/>
          </rPr>
          <t>Bvlgari-PI:</t>
        </r>
        <r>
          <rPr>
            <sz val="9"/>
            <rFont val="Times New Roman"/>
            <family val="1"/>
          </rPr>
          <t xml:space="preserve">
</t>
        </r>
        <r>
          <rPr>
            <sz val="12"/>
            <rFont val="Times New Roman"/>
            <family val="1"/>
          </rPr>
          <t>DIISI OLEH PIC</t>
        </r>
      </text>
    </comment>
    <comment ref="AG31" authorId="0" shapeId="0">
      <text>
        <r>
          <rPr>
            <b/>
            <sz val="9"/>
            <rFont val="Times New Roman"/>
            <family val="1"/>
          </rPr>
          <t>Bvlgari-PI:</t>
        </r>
        <r>
          <rPr>
            <sz val="9"/>
            <rFont val="Times New Roman"/>
            <family val="1"/>
          </rPr>
          <t xml:space="preserve">
</t>
        </r>
        <r>
          <rPr>
            <sz val="12"/>
            <rFont val="Times New Roman"/>
            <family val="1"/>
          </rPr>
          <t>DIISI OLEH PIC</t>
        </r>
      </text>
    </comment>
    <comment ref="D50" authorId="1" shapeId="0">
      <text>
        <r>
          <rPr>
            <b/>
            <sz val="9"/>
            <color indexed="8"/>
            <rFont val="Tahoma"/>
            <family val="2"/>
          </rPr>
          <t xml:space="preserve">BVLGARI:
</t>
        </r>
        <r>
          <rPr>
            <sz val="9"/>
            <color indexed="8"/>
            <rFont val="Tahoma"/>
            <family val="2"/>
          </rPr>
          <t>dari daily sales data + achievment IN lalu di kurang achievment OUT</t>
        </r>
      </text>
    </comment>
    <comment ref="D52" authorId="1" shapeId="0">
      <text>
        <r>
          <rPr>
            <b/>
            <sz val="9"/>
            <color indexed="8"/>
            <rFont val="Tahoma"/>
            <family val="2"/>
          </rPr>
          <t xml:space="preserve">BVLGARI:
</t>
        </r>
        <r>
          <rPr>
            <sz val="9"/>
            <color indexed="8"/>
            <rFont val="Tahoma"/>
            <family val="2"/>
          </rPr>
          <t>real persentase store kamu buat komisi PIC</t>
        </r>
      </text>
    </comment>
  </commentList>
</comments>
</file>

<file path=xl/comments6.xml><?xml version="1.0" encoding="utf-8"?>
<comments xmlns="http://schemas.openxmlformats.org/spreadsheetml/2006/main">
  <authors>
    <author>Bvlgari-PI</author>
    <author xml:space="preserve"> </author>
  </authors>
  <commentList>
    <comment ref="AD28" authorId="0" shapeId="0">
      <text>
        <r>
          <rPr>
            <b/>
            <sz val="9"/>
            <color indexed="81"/>
            <rFont val="Tahoma"/>
            <family val="2"/>
          </rPr>
          <t>Bvlgari-PI:</t>
        </r>
        <r>
          <rPr>
            <sz val="9"/>
            <color indexed="81"/>
            <rFont val="Tahoma"/>
            <family val="2"/>
          </rPr>
          <t xml:space="preserve">
IN OUT CBPS
</t>
        </r>
      </text>
    </comment>
    <comment ref="O54" authorId="0" shapeId="0">
      <text>
        <r>
          <rPr>
            <b/>
            <sz val="9"/>
            <color indexed="81"/>
            <rFont val="Tahoma"/>
            <family val="2"/>
          </rPr>
          <t>Bvlgari-PI:</t>
        </r>
        <r>
          <rPr>
            <sz val="9"/>
            <color indexed="81"/>
            <rFont val="Tahoma"/>
            <family val="2"/>
          </rPr>
          <t xml:space="preserve">
INCLUDE 1PC FROM PS</t>
        </r>
      </text>
    </comment>
    <comment ref="CI54" authorId="0" shapeId="0">
      <text>
        <r>
          <rPr>
            <b/>
            <sz val="9"/>
            <color indexed="81"/>
            <rFont val="Tahoma"/>
            <family val="2"/>
          </rPr>
          <t>Bvlgari-PI:</t>
        </r>
        <r>
          <rPr>
            <sz val="9"/>
            <color indexed="81"/>
            <rFont val="Tahoma"/>
            <family val="2"/>
          </rPr>
          <t xml:space="preserve">
INCLUDE 1PC FROM PS
</t>
        </r>
      </text>
    </comment>
    <comment ref="L55" authorId="1" shapeId="0">
      <text>
        <r>
          <rPr>
            <b/>
            <sz val="9"/>
            <color indexed="8"/>
            <rFont val="Tahoma"/>
            <family val="2"/>
          </rPr>
          <t xml:space="preserve">BVLGARI:
</t>
        </r>
        <r>
          <rPr>
            <sz val="9"/>
            <color indexed="8"/>
            <rFont val="Tahoma"/>
            <family val="2"/>
          </rPr>
          <t>TOTAL PENJUALAN</t>
        </r>
      </text>
    </comment>
    <comment ref="W55" authorId="0" shapeId="0">
      <text>
        <r>
          <rPr>
            <b/>
            <sz val="9"/>
            <color indexed="81"/>
            <rFont val="Tahoma"/>
            <family val="2"/>
          </rPr>
          <t>Bvlgari-PI:</t>
        </r>
        <r>
          <rPr>
            <sz val="9"/>
            <color indexed="81"/>
            <rFont val="Tahoma"/>
            <family val="2"/>
          </rPr>
          <t xml:space="preserve">
INCLUDE 1PC FROM PS</t>
        </r>
      </text>
    </comment>
    <comment ref="CQ55" authorId="0" shapeId="0">
      <text>
        <r>
          <rPr>
            <b/>
            <sz val="9"/>
            <color indexed="81"/>
            <rFont val="Tahoma"/>
            <family val="2"/>
          </rPr>
          <t>Bvlgari-PI:</t>
        </r>
        <r>
          <rPr>
            <sz val="9"/>
            <color indexed="81"/>
            <rFont val="Tahoma"/>
            <family val="2"/>
          </rPr>
          <t xml:space="preserve">
INCLUDE 1PC FROM PS
</t>
        </r>
      </text>
    </comment>
    <comment ref="L56" authorId="1" shapeId="0">
      <text>
        <r>
          <rPr>
            <b/>
            <sz val="9"/>
            <color indexed="8"/>
            <rFont val="Tahoma"/>
            <family val="2"/>
          </rPr>
          <t xml:space="preserve">BVLGARI:
</t>
        </r>
        <r>
          <rPr>
            <sz val="9"/>
            <color indexed="8"/>
            <rFont val="Tahoma"/>
            <family val="2"/>
          </rPr>
          <t>PERSENTASE ACHIEVMENT TOKO DARI TARGET</t>
        </r>
      </text>
    </comment>
    <comment ref="AJ56" authorId="1" shapeId="0">
      <text>
        <r>
          <rPr>
            <b/>
            <sz val="9"/>
            <color indexed="8"/>
            <rFont val="Tahoma"/>
            <family val="2"/>
          </rPr>
          <t xml:space="preserve">BVLGARI:
</t>
        </r>
        <r>
          <rPr>
            <sz val="9"/>
            <color indexed="8"/>
            <rFont val="Tahoma"/>
            <family val="2"/>
          </rPr>
          <t>TOTAL PERSENTASE ACHIEVMENT PERSONAL</t>
        </r>
      </text>
    </comment>
    <comment ref="W57" authorId="1" shapeId="0">
      <text>
        <r>
          <rPr>
            <b/>
            <sz val="9"/>
            <color indexed="8"/>
            <rFont val="Tahoma"/>
            <family val="2"/>
          </rPr>
          <t xml:space="preserve">BVLGARI:
</t>
        </r>
        <r>
          <rPr>
            <sz val="9"/>
            <color indexed="8"/>
            <rFont val="Tahoma"/>
            <family val="2"/>
          </rPr>
          <t>PERSENTASE ACHIEVMENT TOKO DARI TARGET</t>
        </r>
      </text>
    </comment>
    <comment ref="AJ57" authorId="1" shapeId="0">
      <text>
        <r>
          <rPr>
            <b/>
            <sz val="9"/>
            <color indexed="8"/>
            <rFont val="Tahoma"/>
            <family val="2"/>
          </rPr>
          <t xml:space="preserve">BVLGARI:
</t>
        </r>
        <r>
          <rPr>
            <sz val="9"/>
            <color indexed="8"/>
            <rFont val="Tahoma"/>
            <family val="2"/>
          </rPr>
          <t>PERSENTASE KONTRIBUSI TERHADAP TARGET STORE</t>
        </r>
      </text>
    </comment>
    <comment ref="U62" authorId="0" shapeId="0">
      <text>
        <r>
          <rPr>
            <b/>
            <sz val="9"/>
            <color indexed="81"/>
            <rFont val="Tahoma"/>
            <family val="2"/>
          </rPr>
          <t>Bvlgari-PI:</t>
        </r>
        <r>
          <rPr>
            <sz val="9"/>
            <color indexed="81"/>
            <rFont val="Tahoma"/>
            <family val="2"/>
          </rPr>
          <t xml:space="preserve">
Komisi dari in out PS</t>
        </r>
      </text>
    </comment>
    <comment ref="H71" authorId="1" shapeId="0">
      <text>
        <r>
          <rPr>
            <b/>
            <sz val="9"/>
            <color indexed="8"/>
            <rFont val="Tahoma"/>
            <family val="2"/>
          </rPr>
          <t xml:space="preserve">BVLGARI:
</t>
        </r>
        <r>
          <rPr>
            <sz val="9"/>
            <color indexed="8"/>
            <rFont val="Tahoma"/>
            <family val="2"/>
          </rPr>
          <t>HARUS ISI MANUAL SEMUA HITUNGAN KOMISI INDIVIDUAL + KOMISI STORE + KOMISI GLOBAL</t>
        </r>
      </text>
    </comment>
  </commentList>
</comments>
</file>

<file path=xl/comments7.xml><?xml version="1.0" encoding="utf-8"?>
<comments xmlns="http://schemas.openxmlformats.org/spreadsheetml/2006/main">
  <authors>
    <author xml:space="preserve"> </author>
  </authors>
  <commentList>
    <comment ref="D9" authorId="0" shapeId="0">
      <text>
        <r>
          <rPr>
            <b/>
            <sz val="9"/>
            <color indexed="8"/>
            <rFont val="Tahoma"/>
            <family val="2"/>
          </rPr>
          <t xml:space="preserve">BVLGARI:
</t>
        </r>
        <r>
          <rPr>
            <sz val="9"/>
            <color indexed="8"/>
            <rFont val="Tahoma"/>
            <family val="2"/>
          </rPr>
          <t>DARI IN AND OUT HASIL AKHIR</t>
        </r>
      </text>
    </comment>
  </commentList>
</comments>
</file>

<file path=xl/sharedStrings.xml><?xml version="1.0" encoding="utf-8"?>
<sst xmlns="http://schemas.openxmlformats.org/spreadsheetml/2006/main" count="2659" uniqueCount="1433">
  <si>
    <t>Daily Sales Transaction Report</t>
  </si>
  <si>
    <t>Date</t>
  </si>
  <si>
    <t>CB No.</t>
  </si>
  <si>
    <t>Customer Name</t>
  </si>
  <si>
    <t>New</t>
  </si>
  <si>
    <t>Old</t>
  </si>
  <si>
    <t>SAP Code</t>
  </si>
  <si>
    <t>Description</t>
  </si>
  <si>
    <t>Qty</t>
  </si>
  <si>
    <t>Gross Sales</t>
  </si>
  <si>
    <t>Disc. %</t>
  </si>
  <si>
    <t>Net Sales</t>
  </si>
  <si>
    <t>Payment</t>
  </si>
  <si>
    <t>OR No.</t>
  </si>
  <si>
    <t>EDC</t>
  </si>
  <si>
    <t>Card Commission</t>
  </si>
  <si>
    <t>TOTAL ACHIEVEMENT</t>
  </si>
  <si>
    <t>Nationality</t>
  </si>
  <si>
    <t>Rp.</t>
  </si>
  <si>
    <t>Card</t>
  </si>
  <si>
    <t>TOTAL</t>
  </si>
  <si>
    <t xml:space="preserve"> </t>
  </si>
  <si>
    <t>Store:</t>
  </si>
  <si>
    <t>SMI:</t>
  </si>
  <si>
    <t>TOTAL:</t>
  </si>
  <si>
    <t>kurang sales:           -</t>
  </si>
  <si>
    <t>Target Store::</t>
  </si>
  <si>
    <t>Target SMI:</t>
  </si>
  <si>
    <t>Total Target:</t>
  </si>
  <si>
    <t>BVLGARI – PLAZA INDONESIA</t>
  </si>
  <si>
    <t>Traffic &amp; Individual Commission Report</t>
  </si>
  <si>
    <t>DISC</t>
  </si>
  <si>
    <t>Peritem</t>
  </si>
  <si>
    <t>1-10%</t>
  </si>
  <si>
    <t>11-15%</t>
  </si>
  <si>
    <t>&gt;16%</t>
  </si>
  <si>
    <t>Store Achievment</t>
  </si>
  <si>
    <t>SPV</t>
  </si>
  <si>
    <t>BULAN</t>
  </si>
  <si>
    <t>After Tax &amp; CC</t>
  </si>
  <si>
    <t>QTY</t>
  </si>
  <si>
    <t>GROSS</t>
  </si>
  <si>
    <t>NETT</t>
  </si>
  <si>
    <t>AFTER TAX&amp;CC</t>
  </si>
  <si>
    <t>Achievement</t>
  </si>
  <si>
    <t>STORE:</t>
  </si>
  <si>
    <t>PERSONAL %</t>
  </si>
  <si>
    <t>Personal %:</t>
  </si>
  <si>
    <t>Store %:</t>
  </si>
  <si>
    <t>SALES STAFF</t>
  </si>
  <si>
    <t>Komisi Individual</t>
  </si>
  <si>
    <t>KOMISI GLOBAL</t>
  </si>
  <si>
    <t>Komisi Store</t>
  </si>
  <si>
    <t>TOTAL KOMISI</t>
  </si>
  <si>
    <t>PT. MOGEMS PUTRI INTERNATIONAL</t>
  </si>
  <si>
    <t>% Personal Achiev.</t>
  </si>
  <si>
    <t>% Store Achiev</t>
  </si>
  <si>
    <t>Amount Achiv</t>
  </si>
  <si>
    <t>Cross Selling (net sales) &lt;150 JT</t>
  </si>
  <si>
    <t>AFTER TAX</t>
  </si>
  <si>
    <t>Name</t>
  </si>
  <si>
    <t>Spot Incentive / Month</t>
  </si>
  <si>
    <t>Individual Commission</t>
  </si>
  <si>
    <t>Total Slow Moving</t>
  </si>
  <si>
    <t>T O T A L</t>
  </si>
  <si>
    <t>Prepared by,</t>
  </si>
  <si>
    <t>JEWEL 25 JUTA</t>
  </si>
  <si>
    <t>WATCH 50 JUTA</t>
  </si>
  <si>
    <t>OUT</t>
  </si>
  <si>
    <t>IN</t>
  </si>
  <si>
    <t>ACTUAL</t>
  </si>
  <si>
    <t>STORE ACHIEVEMENT :</t>
  </si>
  <si>
    <t>TARGET :</t>
  </si>
  <si>
    <t>%</t>
  </si>
  <si>
    <t>SALES PERSON PRODUCTIVITY REPORT</t>
  </si>
  <si>
    <t>PERIOD</t>
  </si>
  <si>
    <t>STORE</t>
  </si>
  <si>
    <t>NAME</t>
  </si>
  <si>
    <t>CODE</t>
  </si>
  <si>
    <t>DAILY TRAFFIC</t>
  </si>
  <si>
    <t>CUSTOMER CLOSED</t>
  </si>
  <si>
    <t>CLOSING RATIO</t>
  </si>
  <si>
    <t>GROSS     SALES Rp</t>
  </si>
  <si>
    <t>NETT       SALES Rp</t>
  </si>
  <si>
    <t>% DISCOUNT</t>
  </si>
  <si>
    <t>PIECES SOLD</t>
  </si>
  <si>
    <t>AVERAGE SALES Rp</t>
  </si>
  <si>
    <t>Manager</t>
  </si>
  <si>
    <t>COUNTRY</t>
  </si>
  <si>
    <t>JEWELRY</t>
  </si>
  <si>
    <t>Afghanistan</t>
  </si>
  <si>
    <t>AFG</t>
  </si>
  <si>
    <t>WATCHES</t>
  </si>
  <si>
    <t>Albania</t>
  </si>
  <si>
    <t>ALB</t>
  </si>
  <si>
    <t>PERFUME</t>
  </si>
  <si>
    <t>Algeria</t>
  </si>
  <si>
    <t>DZA</t>
  </si>
  <si>
    <t>LLGA</t>
  </si>
  <si>
    <t>American Samoa</t>
  </si>
  <si>
    <t>ASM</t>
  </si>
  <si>
    <t>AFSS</t>
  </si>
  <si>
    <t>Andorra</t>
  </si>
  <si>
    <t>AND</t>
  </si>
  <si>
    <t>HE WATCHES</t>
  </si>
  <si>
    <t>Angola</t>
  </si>
  <si>
    <t>AGO</t>
  </si>
  <si>
    <t>JHJEWELRY</t>
  </si>
  <si>
    <t>Anguilla</t>
  </si>
  <si>
    <t>AIA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</si>
  <si>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</si>
  <si>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</si>
  <si>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</si>
  <si>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</si>
  <si>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</si>
  <si>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</si>
  <si>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</si>
  <si>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</si>
  <si>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</si>
  <si>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</si>
  <si>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</si>
  <si>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</si>
  <si>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</si>
  <si>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</si>
  <si>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</si>
  <si>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</si>
  <si>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 (the)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</si>
  <si>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</si>
  <si>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</si>
  <si>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</si>
  <si>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</si>
  <si>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</si>
  <si>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</si>
  <si>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</si>
  <si>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</si>
  <si>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</si>
  <si>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</si>
  <si>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</si>
  <si>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</si>
  <si>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</si>
  <si>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</si>
  <si>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</si>
  <si>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</si>
  <si>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</si>
  <si>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</si>
  <si>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</si>
  <si>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 (Plurinational State of)</t>
  </si>
  <si>
    <t>BOL</t>
  </si>
  <si>
    <t>Bonaire, Sint Eustatius and Saba</t>
  </si>
  <si>
    <t>BES</t>
  </si>
  <si>
    <t>Bosnia and Herzegovina</t>
  </si>
  <si>
    <t>BIH</t>
  </si>
  <si>
    <t>Botswana</t>
  </si>
  <si>
    <t>BWA</t>
  </si>
  <si>
    <t>Bouvet Island</t>
  </si>
  <si>
    <t>BVT</t>
  </si>
  <si>
    <t>Brazil</t>
  </si>
  <si>
    <t>BRA</t>
  </si>
  <si>
    <t>British Indian Ocean Territory (the)</t>
  </si>
  <si>
    <t>IOT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</si>
  <si>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</si>
  <si>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</si>
  <si>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</si>
  <si>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</si>
  <si>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</si>
  <si>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</si>
  <si>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</si>
  <si>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</si>
  <si>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</si>
  <si>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</si>
  <si>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</si>
  <si>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</si>
  <si>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</si>
  <si>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</si>
  <si>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</si>
  <si>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</si>
  <si>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 (the)</t>
  </si>
  <si>
    <t>CYM</t>
  </si>
  <si>
    <t>Central African Republic (the)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</si>
  <si>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</si>
  <si>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</si>
  <si>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</si>
  <si>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</si>
  <si>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</si>
  <si>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</si>
  <si>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</si>
  <si>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</si>
  <si>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</si>
  <si>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Cocos (Keeling) Islands (the)</t>
  </si>
  <si>
    <t>CCK</t>
  </si>
  <si>
    <t>Colombia</t>
  </si>
  <si>
    <t>COL</t>
  </si>
  <si>
    <t>Comoros (the)</t>
  </si>
  <si>
    <t>COM</t>
  </si>
  <si>
    <t>Congo (the Democratic Republic of the)</t>
  </si>
  <si>
    <t>COD</t>
  </si>
  <si>
    <t>Congo (the)</t>
  </si>
  <si>
    <t>COG</t>
  </si>
  <si>
    <t>Cook Islands (the)</t>
  </si>
  <si>
    <t>COK</t>
  </si>
  <si>
    <t>Costa Rica</t>
  </si>
  <si>
    <t>CRI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</si>
  <si>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</si>
  <si>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</si>
  <si>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</si>
  <si>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</si>
  <si>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</si>
  <si>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</si>
  <si>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</si>
  <si>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</si>
  <si>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</si>
  <si>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</si>
  <si>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Côte d'Ivoire</t>
  </si>
  <si>
    <t>CIV</t>
  </si>
  <si>
    <t>Denmark</t>
  </si>
  <si>
    <t>DNK</t>
  </si>
  <si>
    <t>Djibouti</t>
  </si>
  <si>
    <t>DJI</t>
  </si>
  <si>
    <t>Dominica</t>
  </si>
  <si>
    <t>DMA</t>
  </si>
  <si>
    <t>Dominican Republic (the)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</si>
  <si>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</si>
  <si>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</si>
  <si>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</si>
  <si>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</si>
  <si>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</si>
  <si>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</si>
  <si>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</si>
  <si>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</si>
  <si>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</si>
  <si>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</si>
  <si>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</si>
  <si>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</si>
  <si>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</si>
  <si>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</si>
  <si>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</si>
  <si>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</si>
  <si>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</si>
  <si>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(the) [Malvinas]</t>
  </si>
  <si>
    <t>FLK</t>
  </si>
  <si>
    <t>Faroe Islands (the)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</si>
  <si>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</si>
  <si>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</si>
  <si>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</si>
  <si>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</si>
  <si>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</si>
  <si>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</si>
  <si>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</si>
  <si>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</si>
  <si>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</si>
  <si>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</si>
  <si>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</si>
  <si>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 (the)</t>
  </si>
  <si>
    <t>ATF</t>
  </si>
  <si>
    <t>Gabon</t>
  </si>
  <si>
    <t>GAB</t>
  </si>
  <si>
    <t>Gambia (the)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</si>
  <si>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</si>
  <si>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</si>
  <si>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</si>
  <si>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</si>
  <si>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</si>
  <si>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</si>
  <si>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</si>
  <si>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</si>
  <si>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</si>
  <si>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</si>
  <si>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</si>
  <si>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</si>
  <si>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</si>
  <si>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</si>
  <si>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</si>
  <si>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</si>
  <si>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</si>
  <si>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</si>
  <si>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</si>
  <si>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</si>
  <si>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</si>
  <si>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</si>
  <si>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</si>
  <si>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</si>
  <si>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</si>
  <si>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</si>
  <si>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</si>
  <si>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</si>
  <si>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</si>
  <si>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</si>
  <si>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</si>
  <si>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</si>
  <si>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</si>
  <si>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Holy See (the)</t>
  </si>
  <si>
    <t>VAT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</si>
  <si>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</si>
  <si>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</si>
  <si>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</si>
  <si>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</si>
  <si>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</si>
  <si>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</si>
  <si>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</si>
  <si>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</si>
  <si>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</si>
  <si>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</si>
  <si>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</si>
  <si>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INA</t>
  </si>
  <si>
    <t>Iran (Islamic Republic of)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</si>
  <si>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</si>
  <si>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</si>
  <si>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</si>
  <si>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</si>
  <si>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</si>
  <si>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</si>
  <si>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</si>
  <si>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</si>
  <si>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</si>
  <si>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</si>
  <si>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</si>
  <si>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</si>
  <si>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</si>
  <si>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</si>
  <si>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</si>
  <si>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</si>
  <si>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</si>
  <si>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</si>
  <si>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</si>
  <si>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</si>
  <si>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</si>
  <si>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</si>
  <si>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</si>
  <si>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</si>
  <si>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</si>
  <si>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 (the Republic of)</t>
  </si>
  <si>
    <t>KOR</t>
  </si>
  <si>
    <t>Kuwait</t>
  </si>
  <si>
    <t>KWT</t>
  </si>
  <si>
    <t>Kyrgyzstan</t>
  </si>
  <si>
    <t>KGZ</t>
  </si>
  <si>
    <t>Lao People's Democratic Republic (the)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</si>
  <si>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</si>
  <si>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</si>
  <si>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</si>
  <si>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</si>
  <si>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</si>
  <si>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</si>
  <si>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</si>
  <si>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</si>
  <si>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</si>
  <si>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</si>
  <si>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</si>
  <si>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</si>
  <si>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</si>
  <si>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</si>
  <si>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</si>
  <si>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</si>
  <si>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</si>
  <si>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</si>
  <si>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</si>
  <si>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</si>
  <si>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</si>
  <si>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</si>
  <si>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</si>
  <si>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</si>
  <si>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</si>
  <si>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</si>
  <si>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</si>
  <si>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</si>
  <si>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</si>
  <si>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</si>
  <si>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</si>
  <si>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 (the)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</si>
  <si>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</si>
  <si>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</si>
  <si>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</si>
  <si>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</si>
  <si>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</si>
  <si>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</si>
  <si>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</si>
  <si>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</si>
  <si>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</si>
  <si>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</si>
  <si>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</si>
  <si>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(Federated States of)</t>
  </si>
  <si>
    <t>FSM</t>
  </si>
  <si>
    <t>Moldova (the Republic of)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</si>
  <si>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</si>
  <si>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</si>
  <si>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</si>
  <si>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</si>
  <si>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</si>
  <si>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</si>
  <si>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</si>
  <si>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</si>
  <si>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</si>
  <si>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</si>
  <si>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</si>
  <si>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</si>
  <si>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</si>
  <si>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</si>
  <si>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</si>
  <si>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</si>
  <si>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</si>
  <si>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</si>
  <si>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</si>
  <si>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</si>
  <si>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</si>
  <si>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 (the)</t>
  </si>
  <si>
    <t>NLD</t>
  </si>
  <si>
    <t>New Caledonia</t>
  </si>
  <si>
    <t>NCL</t>
  </si>
  <si>
    <t>New Zealand</t>
  </si>
  <si>
    <t>NZL</t>
  </si>
  <si>
    <t>Nicaragua</t>
  </si>
  <si>
    <t>NIC</t>
  </si>
  <si>
    <t>Niger (the)</t>
  </si>
  <si>
    <t>NER</t>
  </si>
  <si>
    <t>Nigeria</t>
  </si>
  <si>
    <t>NGA</t>
  </si>
  <si>
    <t>Niue</t>
  </si>
  <si>
    <t>NIU</t>
  </si>
  <si>
    <t>Norfolk Island</t>
  </si>
  <si>
    <t>NFK</t>
  </si>
  <si>
    <t>Northern Mariana Islands (the)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</si>
  <si>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</si>
  <si>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</si>
  <si>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</si>
  <si>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</si>
  <si>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</si>
  <si>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</si>
  <si>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</si>
  <si>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</si>
  <si>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</si>
  <si>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Palestine, State of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</si>
  <si>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</si>
  <si>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</si>
  <si>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</si>
  <si>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</si>
  <si>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</si>
  <si>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</si>
  <si>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</si>
  <si>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</si>
  <si>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</si>
  <si>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 (the)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</si>
  <si>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</si>
  <si>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</si>
  <si>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</si>
  <si>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</si>
  <si>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</si>
  <si>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</si>
  <si>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</si>
  <si>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</si>
  <si>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</si>
  <si>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</si>
  <si>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</si>
  <si>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North Macedonia</t>
  </si>
  <si>
    <t>MKD</t>
  </si>
  <si>
    <t>Romania</t>
  </si>
  <si>
    <t>ROU</t>
  </si>
  <si>
    <t>Russian Federation (the)</t>
  </si>
  <si>
    <t>RUS</t>
  </si>
  <si>
    <t>Rwanda</t>
  </si>
  <si>
    <t>RWA</t>
  </si>
  <si>
    <t>Réunion</t>
  </si>
  <si>
    <t>REU</t>
  </si>
  <si>
    <t>Saint Barthélemy</t>
  </si>
  <si>
    <t>BLM</t>
  </si>
  <si>
    <t>Saint Helena, Ascension and Tristan da Cunha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</si>
  <si>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</si>
  <si>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</si>
  <si>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</si>
  <si>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</si>
  <si>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</si>
  <si>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</si>
  <si>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</si>
  <si>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</si>
  <si>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</si>
  <si>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</si>
  <si>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</si>
  <si>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</si>
  <si>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</si>
  <si>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</si>
  <si>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</si>
  <si>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</si>
  <si>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</si>
  <si>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</si>
  <si>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</si>
  <si>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</si>
  <si>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</si>
  <si>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</si>
  <si>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</si>
  <si>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</si>
  <si>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</si>
  <si>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</si>
  <si>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</si>
  <si>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</si>
  <si>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</si>
  <si>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</si>
  <si>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</si>
  <si>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</si>
  <si>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</si>
  <si>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</si>
  <si>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</si>
  <si>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</si>
  <si>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</si>
  <si>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</si>
  <si>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</si>
  <si>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</si>
  <si>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</si>
  <si>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</si>
  <si>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</si>
  <si>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Sudan</t>
  </si>
  <si>
    <t>SSD</t>
  </si>
  <si>
    <t>Spain</t>
  </si>
  <si>
    <t>ESP</t>
  </si>
  <si>
    <t>Sri Lanka</t>
  </si>
  <si>
    <t>LKA</t>
  </si>
  <si>
    <t>Sudan (the)</t>
  </si>
  <si>
    <t>SDN</t>
  </si>
  <si>
    <t>Suriname</t>
  </si>
  <si>
    <t>SUR</t>
  </si>
  <si>
    <t>Svalbard and Jan Mayen</t>
  </si>
  <si>
    <t>SJM</t>
  </si>
  <si>
    <t>Sweden</t>
  </si>
  <si>
    <t>SWE</t>
  </si>
  <si>
    <t>Switzerland</t>
  </si>
  <si>
    <t>CHE</t>
  </si>
  <si>
    <t>Syrian Arab Republic</t>
  </si>
  <si>
    <t>SYR</t>
  </si>
  <si>
    <t>Taiwan (Province of China)</t>
  </si>
  <si>
    <t>TWN</t>
  </si>
  <si>
    <t>Tajikistan</t>
  </si>
  <si>
    <t>TJK</t>
  </si>
  <si>
    <t>Tanzania, United Republic of</t>
  </si>
  <si>
    <t>TZA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</si>
  <si>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</si>
  <si>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</si>
  <si>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</si>
  <si>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</si>
  <si>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</si>
  <si>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</si>
  <si>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</si>
  <si>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</si>
  <si>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</si>
  <si>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</si>
  <si>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</si>
  <si>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</si>
  <si>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</si>
  <si>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</si>
  <si>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</si>
  <si>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</si>
  <si>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</si>
  <si>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</si>
  <si>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 (the)</t>
  </si>
  <si>
    <t>TCA</t>
  </si>
  <si>
    <t>Tuvalu</t>
  </si>
  <si>
    <t>TUV</t>
  </si>
  <si>
    <t>Uganda</t>
  </si>
  <si>
    <t>UGA</t>
  </si>
  <si>
    <t>Ukraine</t>
  </si>
  <si>
    <t>UKR</t>
  </si>
  <si>
    <t>United Arab Emirates (the)</t>
  </si>
  <si>
    <t>ARE</t>
  </si>
  <si>
    <t>United Kingdom of Great Britain and Northern Ireland (the)</t>
  </si>
  <si>
    <t>GBR</t>
  </si>
  <si>
    <t>United States Minor Outlying Islands (the)</t>
  </si>
  <si>
    <t>UMI</t>
  </si>
  <si>
    <t>United States of America (the)</t>
  </si>
  <si>
    <t>USA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</si>
  <si>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</si>
  <si>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</si>
  <si>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</si>
  <si>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</si>
  <si>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</si>
  <si>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</si>
  <si>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</si>
  <si>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</si>
  <si>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</si>
  <si>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</si>
  <si>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Virgin Islands (British)</t>
  </si>
  <si>
    <t>VGB</t>
  </si>
  <si>
    <t>Virgin Islands (U.S.)</t>
  </si>
  <si>
    <t>VIR</t>
  </si>
  <si>
    <t>Wallis and Futuna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</si>
  <si>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</si>
  <si>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</si>
  <si>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</si>
  <si>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</si>
  <si>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</si>
  <si>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</si>
  <si>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</si>
  <si>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</si>
  <si>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</si>
  <si>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Åland Islands</t>
  </si>
  <si>
    <t>ALA</t>
  </si>
  <si>
    <t>ACC 6 JUTA</t>
  </si>
  <si>
    <t>WALK IN</t>
  </si>
  <si>
    <t>FOLLOWED UP</t>
  </si>
  <si>
    <t>TOTAL STORE</t>
  </si>
  <si>
    <t>TRAFFIC W/DATA</t>
  </si>
  <si>
    <t>SHJ / LLG / OCTO</t>
  </si>
  <si>
    <t>Watches Specialist</t>
  </si>
  <si>
    <t>1-2pc</t>
  </si>
  <si>
    <t>&gt;3pc</t>
  </si>
  <si>
    <t>Others 1-2pc</t>
  </si>
  <si>
    <t>OCTO 1-2pc</t>
  </si>
  <si>
    <t>Watches Specialist khusus penjualan Jam tangan</t>
  </si>
  <si>
    <t>Others &gt;3pc</t>
  </si>
  <si>
    <t>OCTO &gt;3pc</t>
  </si>
  <si>
    <t>RUMUS:</t>
  </si>
  <si>
    <t>S.MANAGER</t>
  </si>
  <si>
    <t>GLOBAL</t>
  </si>
  <si>
    <t>All</t>
  </si>
  <si>
    <t>CA</t>
  </si>
  <si>
    <t>Periode</t>
  </si>
  <si>
    <t>Serial No</t>
  </si>
  <si>
    <t>Item Name</t>
  </si>
  <si>
    <t>Category</t>
  </si>
  <si>
    <t>Bank Transfer To</t>
  </si>
  <si>
    <t>Card Type</t>
  </si>
  <si>
    <t xml:space="preserve">Daily Total Achievement </t>
  </si>
  <si>
    <t>Served By</t>
  </si>
  <si>
    <t>Entitle</t>
  </si>
  <si>
    <t>Sales Invoice No</t>
  </si>
  <si>
    <t>W</t>
  </si>
  <si>
    <t>F</t>
  </si>
  <si>
    <t>Other Remarks</t>
  </si>
  <si>
    <t>Deposit CB No</t>
  </si>
  <si>
    <t>Discount Given Reason</t>
  </si>
  <si>
    <t>Service Center Transaction Report</t>
  </si>
  <si>
    <t>After Sales Support</t>
  </si>
  <si>
    <t>Repair Bill No</t>
  </si>
  <si>
    <t>SMI Transaction Report</t>
  </si>
  <si>
    <t>SMI Commission</t>
  </si>
  <si>
    <t>Head Office Transaction Report</t>
  </si>
  <si>
    <t>AB No.</t>
  </si>
  <si>
    <t>Markom Transaction Report</t>
  </si>
  <si>
    <t>GV No.</t>
  </si>
  <si>
    <t>Target Butik</t>
  </si>
  <si>
    <t>Taret individual di bagi jumlah CA</t>
  </si>
  <si>
    <t>TRAFFIC WITH DATA</t>
  </si>
  <si>
    <t>HARUS DI ISI</t>
  </si>
  <si>
    <t xml:space="preserve">TOTAL </t>
  </si>
  <si>
    <t>OLD</t>
  </si>
  <si>
    <t>NEW</t>
  </si>
  <si>
    <t>SKU</t>
  </si>
  <si>
    <t>Item Code</t>
  </si>
  <si>
    <t>90*90 SCARF BOX</t>
  </si>
  <si>
    <t>COTTON BAG FOR LEATHER GOODS (40X40)</t>
  </si>
  <si>
    <t>COTTON BAG FOR LEATHER GOODS (30X30)</t>
  </si>
  <si>
    <t>FOLDING BOX BB3 (40.5x38x20)</t>
  </si>
  <si>
    <t>FOLDING BOX BB7 (32.5x27x14)</t>
  </si>
  <si>
    <t>FOLDING BOX BB9 (32.5x20x13.5)</t>
  </si>
  <si>
    <t>COTTON BAG FOR LEATHER GOODS (35X35)</t>
  </si>
  <si>
    <t>HE Kit for Necklace PK/31HJ</t>
  </si>
  <si>
    <t>PK/44 HE WATCH BOX MALE</t>
  </si>
  <si>
    <t>PK/45 HE WATCH BOX FEMALE</t>
  </si>
  <si>
    <t>WB/55 BOX FOR STC RING</t>
  </si>
  <si>
    <t>PK/45M HE WATCH BOX SERPENTI PG</t>
  </si>
  <si>
    <t>PK/50 HE SERPENTI PRECIOUS WATCH</t>
  </si>
  <si>
    <t>Small Kit for Bzero1 Earrings BK/9MBS</t>
  </si>
  <si>
    <t>Kit for Watch Serpenti Steel FIX/2MBS</t>
  </si>
  <si>
    <t>Medium Kit for Bzero1 Earrings BK/12M</t>
  </si>
  <si>
    <t>BFIX/2</t>
  </si>
  <si>
    <t>BB15 FOLDING BOX 34.5x33.5x27</t>
  </si>
  <si>
    <t>BOX FOR WEDDING RING (PK/5B)</t>
  </si>
  <si>
    <t>RB/1B RIBBON WHITE S</t>
  </si>
  <si>
    <t>SHOPPING BAG XS SB/0G</t>
  </si>
  <si>
    <t>SHOPPING BAG S SB/1G</t>
  </si>
  <si>
    <t>SHOPPING BAG M SB/2G</t>
  </si>
  <si>
    <t>SHOPPING BAG L SB/3G</t>
  </si>
  <si>
    <t>SHOPPING BAG XL SB/4</t>
  </si>
  <si>
    <t>BVLGARI RIBBON 15mm RB/1G</t>
  </si>
  <si>
    <t>BVLGARI RIBBON 25mm RB/2G</t>
  </si>
  <si>
    <t>RECEIPT FOLDER PF/2G</t>
  </si>
  <si>
    <t>WB/57 BOX FOR STC NECKLACE</t>
  </si>
  <si>
    <t>PK/10G MEDIUM KIT FOR MISCELLANEOUS</t>
  </si>
  <si>
    <t>SMALL LINK BRACELET BOX PK/10MG</t>
  </si>
  <si>
    <t>Kit for Necklace With Pochette PK/29G</t>
  </si>
  <si>
    <t>PK/17G LARGE KIT FOR LONG EARRINGS</t>
  </si>
  <si>
    <t>S &amp; L FLAT BRACELET BOX PK/21NG</t>
  </si>
  <si>
    <t>NECKLACE BOX PK/29G</t>
  </si>
  <si>
    <t>SERPENTI STEEL WATCH BOX BFIX/2MG</t>
  </si>
  <si>
    <t>AFSS RING POCHETTE PR/1SG</t>
  </si>
  <si>
    <t>AFSS NECKLACE/BRACELET POCHETTE PN/1SG</t>
  </si>
  <si>
    <t>AFSS BRACELET POCHETTE PB/1SG</t>
  </si>
  <si>
    <t>Pochette for Earing PE/25G</t>
  </si>
  <si>
    <t>SPB/1 SILK POCHETTE BANGLE BRACELET</t>
  </si>
  <si>
    <t>SPE/1 SILK POCHETTE EARRINGS &amp; CUFF</t>
  </si>
  <si>
    <t>SPW/1 SILK POCHETTE WATCH</t>
  </si>
  <si>
    <t>BFIX/2BR15</t>
  </si>
  <si>
    <t>WB/58 BOX FOR STC BRACELET</t>
  </si>
  <si>
    <t>DWA WATCHES + ENVELOPE</t>
  </si>
  <si>
    <t>Watch Box With Tray FIX/2MT</t>
  </si>
  <si>
    <t>HE WATCH BOX OCTO STRIKING</t>
  </si>
  <si>
    <t>70*190 SCARF BOX</t>
  </si>
  <si>
    <t>PF DWA JWA + ENVELOPE</t>
  </si>
  <si>
    <t>FRGMNT WATCH BOC CBWTP/1</t>
  </si>
  <si>
    <t>WATCH BOX WITH CUSHION FIX/2B</t>
  </si>
  <si>
    <t>PK/17HJF FUCHSIA HE KIT FOR LONG EARRINGS</t>
  </si>
  <si>
    <t>FUSCHIA HE KIT FOR BANGLE</t>
  </si>
  <si>
    <t>FUCHSIA HE KIT FOR NECKLACE LARGE</t>
  </si>
  <si>
    <t>PF/12 PAD FOR CIRCULAR EARING</t>
  </si>
  <si>
    <t>FUSCHIA HJ TRAVEL POUCH FOR RECTANGULAR NECKLACE</t>
  </si>
  <si>
    <t>SCARF BOX 18x7x2.5</t>
  </si>
  <si>
    <t>FOLDING BOX BB17 (26.5x25x13)</t>
  </si>
  <si>
    <t>WATCH BOX FOR BB AL</t>
  </si>
  <si>
    <t>WATCH BOX FOR AL BLUE SCUBA</t>
  </si>
  <si>
    <t>GREEN HJ TRAVEL POUCH</t>
  </si>
  <si>
    <t>BVL RIBBON SAFFRON 25MM</t>
  </si>
  <si>
    <t>ENGAGEMENT RING BOX PF/4BF</t>
  </si>
  <si>
    <t>WEDDING RING BOX PF/5BF</t>
  </si>
  <si>
    <t>LARGE RING BOX PF/3</t>
  </si>
  <si>
    <t>B01 RING BOX PF/3M</t>
  </si>
  <si>
    <t>SMALL RING BOX PF/4</t>
  </si>
  <si>
    <t>BOX MEDIUM FOR MISCELLANEOUS PF/10</t>
  </si>
  <si>
    <t>SMALL LINK BRACELET BOX PF/10M</t>
  </si>
  <si>
    <t>BOX MEDIUM FOR LARGE EARRINGS PF/12</t>
  </si>
  <si>
    <t>SMALL CHAIN NECKLACE BOX PF/16M</t>
  </si>
  <si>
    <t>BOX LARGE FOR LONG EARRINGS PF/17</t>
  </si>
  <si>
    <t>BANGLE BRACELET BOX PF/19</t>
  </si>
  <si>
    <t>S &amp; L FLAT BRACELET BOX PF/21N</t>
  </si>
  <si>
    <t>NECKLACE BOX PF/29</t>
  </si>
  <si>
    <t>BOX FOR NECKLACE WITH POUCH PF/29P</t>
  </si>
  <si>
    <t>WATCH BOX WITH CUSHION FIX/2PF</t>
  </si>
  <si>
    <t>SERPENTI STEEL WATCH BOX FIX/2MPF</t>
  </si>
  <si>
    <t>WATCH BOX WITH CUSHION-M FIX/2BPF</t>
  </si>
  <si>
    <t>AFSS RING POCHETTE AP/1PF</t>
  </si>
  <si>
    <t>AFSS NECKLACE POCHETTE AP/2PF</t>
  </si>
  <si>
    <t>AFSS BRACELET POCHETTE AP/3PF</t>
  </si>
  <si>
    <t>AFSS WATCH POCHETTE AP/5PF</t>
  </si>
  <si>
    <t>SP/1PF SILK POCHETTE RING</t>
  </si>
  <si>
    <t>SP/2PF SILK POCHETTE BANGLE BRACELET</t>
  </si>
  <si>
    <t>SP/3PF SILK POCHETTE EARR &amp; CUFF</t>
  </si>
  <si>
    <t>SP/4PF SILK POCHETTE NECKLACE</t>
  </si>
  <si>
    <t>SP/5PF SILK POCHETTE WATCH</t>
  </si>
  <si>
    <t>STC/1PF BOX FOR STC RING</t>
  </si>
  <si>
    <t>STC/2PF BOX FOR STC NECKLACE</t>
  </si>
  <si>
    <t>STC/3PF BOX FOR STC BRAC</t>
  </si>
  <si>
    <t>BVLGARI RIBBON BRIDAL WHITE 15mm</t>
  </si>
  <si>
    <t>Scarf Box 24.2x24x2</t>
  </si>
  <si>
    <t>70*70 SCARF BOX</t>
  </si>
  <si>
    <t>Scarf Box 36.5x26.5x1.5</t>
  </si>
  <si>
    <t>5*85 SCARF BOX</t>
  </si>
  <si>
    <t>CARE KIT FOR JW</t>
  </si>
  <si>
    <t>WATCH BOX OCTO ROMA</t>
  </si>
  <si>
    <t>WB-BB103 WATCH BOX BB AL 101815&amp;103844</t>
  </si>
  <si>
    <t>WATCH BOX BB ALU TURIS</t>
  </si>
  <si>
    <t>GT ALU CARD FOR 103893 &amp; 104006</t>
  </si>
  <si>
    <t>WATCH BOX W/CUSHION FOR 104114 &amp; 104115 - FIX/1041</t>
  </si>
  <si>
    <t>WATCH BOX w/CUSHION TADAO 104002/3/4/7</t>
  </si>
  <si>
    <t>TADAO ANDO LEAFLET</t>
  </si>
  <si>
    <t>LEAFLET FOR BB LISA - L/BB LI</t>
  </si>
  <si>
    <t>BVL TADAO ANDO RIBBON 15MM</t>
  </si>
  <si>
    <t>Monthly use</t>
  </si>
  <si>
    <t>DWA</t>
  </si>
  <si>
    <t>Daily Sales Transaction IN AND OUT Report</t>
  </si>
  <si>
    <t>AFTER IN OUT</t>
  </si>
  <si>
    <t>Target:</t>
  </si>
  <si>
    <t>daily sales,smi,in-out</t>
  </si>
  <si>
    <t>Spot Incentive</t>
  </si>
  <si>
    <t>Markom tidak di hitung traffic, tidak ada achv individual, store, hanya ada komisi jika ada voucher nya</t>
  </si>
  <si>
    <t>Rubah intial</t>
  </si>
  <si>
    <t>Tanda Terima</t>
  </si>
  <si>
    <t>BVLGARI – Plaza Indonesia</t>
  </si>
  <si>
    <t>COMMISSION BVLGARI PLAZA INDONESIA</t>
  </si>
  <si>
    <t>SYANDY</t>
  </si>
  <si>
    <t>IRMA</t>
  </si>
  <si>
    <t>DIAN</t>
  </si>
  <si>
    <t>SD</t>
  </si>
  <si>
    <t>SK</t>
  </si>
  <si>
    <t>IR</t>
  </si>
  <si>
    <t>DP</t>
  </si>
  <si>
    <t>A3</t>
  </si>
  <si>
    <t>A6</t>
  </si>
  <si>
    <t>ALL</t>
  </si>
  <si>
    <t>JOJO</t>
  </si>
  <si>
    <t>CROSSCHECK</t>
  </si>
  <si>
    <t>AJ</t>
  </si>
  <si>
    <t>AJENG</t>
  </si>
  <si>
    <t>SISKA (VIP CA)</t>
  </si>
  <si>
    <t>JJ</t>
  </si>
  <si>
    <t>Issue Receipt No.</t>
  </si>
  <si>
    <t>ALVIN</t>
  </si>
  <si>
    <t>AL</t>
  </si>
  <si>
    <t>Kurang (termasuk tax)</t>
  </si>
  <si>
    <t>0.36% (2 pcs )</t>
  </si>
  <si>
    <t>0.48% (3 pcs)</t>
  </si>
  <si>
    <t>ARI</t>
  </si>
  <si>
    <t>AK</t>
  </si>
  <si>
    <t>RECEIPT FOLDER PF/2LG</t>
  </si>
  <si>
    <t>DATAMATRIX LEAFLET</t>
  </si>
  <si>
    <t>MONIQ</t>
  </si>
  <si>
    <t>MM</t>
  </si>
  <si>
    <t>Balancing</t>
  </si>
  <si>
    <t>Lacking Target</t>
  </si>
  <si>
    <t>Daily</t>
  </si>
  <si>
    <t>Cosmo CRM ID</t>
  </si>
  <si>
    <t>HERDY</t>
  </si>
  <si>
    <t>HS</t>
  </si>
  <si>
    <t>Achievement Store</t>
  </si>
  <si>
    <t>Target Store</t>
  </si>
  <si>
    <t>NO SALE</t>
  </si>
  <si>
    <t>NO REPAIR</t>
  </si>
  <si>
    <t>CBPI 11386</t>
  </si>
  <si>
    <t>SI-550/2609/37751</t>
  </si>
  <si>
    <t>Susana Tatang</t>
  </si>
  <si>
    <t>DEPOSIT</t>
  </si>
  <si>
    <t>Deposit 50% RBPI 8094620</t>
  </si>
  <si>
    <t>BCA</t>
  </si>
  <si>
    <t>CBPI 11387</t>
  </si>
  <si>
    <t>Felix Kuosanto</t>
  </si>
  <si>
    <t>SI-550/2609/37752</t>
  </si>
  <si>
    <t>Deposit FULL PAYMENT RBPI 8094615</t>
  </si>
  <si>
    <t>V/BCA</t>
  </si>
  <si>
    <t>CBPI 11346</t>
  </si>
  <si>
    <t>CBPI 11388</t>
  </si>
  <si>
    <t>INV-RBPI/2609/02801</t>
  </si>
  <si>
    <t>Ratna Tedja</t>
  </si>
  <si>
    <t>BB 26 SG</t>
  </si>
  <si>
    <t>L419712</t>
  </si>
  <si>
    <t>Complete Service</t>
  </si>
  <si>
    <t>SI-PI/2609/37755 (Sales Support)</t>
  </si>
  <si>
    <t>CBPI 11389</t>
  </si>
  <si>
    <t>INV-550/2609/02803</t>
  </si>
  <si>
    <t>Monica Selly Agresia</t>
  </si>
  <si>
    <t>CL857315</t>
  </si>
  <si>
    <t>XH1WXK</t>
  </si>
  <si>
    <t>CL DIVA PG-5.0grs 1DIA-0.03ct 24PAVE-0.44ct PENDANT</t>
  </si>
  <si>
    <t>V/HSBC</t>
  </si>
  <si>
    <t>CBPI 11390</t>
  </si>
  <si>
    <t>INV-RBPI/2609/02804</t>
  </si>
  <si>
    <t>Jhon Levis</t>
  </si>
  <si>
    <t>APN000</t>
  </si>
  <si>
    <t>CL BB</t>
  </si>
  <si>
    <t>Oth COS (Extend Chain)</t>
  </si>
  <si>
    <t>CBPI 11343</t>
  </si>
  <si>
    <t>CBPI 11392</t>
  </si>
  <si>
    <t>INV-PI/2609/02806</t>
  </si>
  <si>
    <t>Frisca Kargito</t>
  </si>
  <si>
    <t>OR859929</t>
  </si>
  <si>
    <t>AA0X04</t>
  </si>
  <si>
    <t>OR SVI PG-8.6grs 10PAVE-0.18ct</t>
  </si>
  <si>
    <t>CASHBACK BCA RP 2,500,000</t>
  </si>
  <si>
    <t>V/BCA 12X</t>
  </si>
  <si>
    <t>CBPI 11393</t>
  </si>
  <si>
    <t>INV-PI/2609/02807</t>
  </si>
  <si>
    <t>Lisa Lissa</t>
  </si>
  <si>
    <t>AN859915</t>
  </si>
  <si>
    <t>ARXF26</t>
  </si>
  <si>
    <t>CL860213</t>
  </si>
  <si>
    <t>OR860393</t>
  </si>
  <si>
    <t>BR859759</t>
  </si>
  <si>
    <t>AM0596</t>
  </si>
  <si>
    <t>AHF366</t>
  </si>
  <si>
    <t>ASRN57</t>
  </si>
  <si>
    <t>AN SVI 1ROW WG-7.0grs 6PAVE-0.14ct Sz 51-53</t>
  </si>
  <si>
    <t>CL SVI PG-38,9grs TITANIUM-1.2 8PAVE-0.41ct Sz 36</t>
  </si>
  <si>
    <t>OR DIVA PG-6.1grs 2DIA-0.07ct 2MOP-0.08 22PAVE-0.18ct</t>
  </si>
  <si>
    <t>BR SVI 1ROW BANGLE WG-17.8grs TITANIUM-1.7 8PAVE-0.47ct Sz 15</t>
  </si>
  <si>
    <t>GV 0238</t>
  </si>
  <si>
    <t>INV-PI/2609/02805</t>
  </si>
  <si>
    <t>Eddy Kurniawan</t>
  </si>
  <si>
    <t>KIT-POUCH BRA GG41 CAO-ACI BLU CDP S.S I</t>
  </si>
  <si>
    <t>CBPI 11032</t>
  </si>
  <si>
    <t>INV-PI/2609/02805 (Sales Support)</t>
  </si>
  <si>
    <t>HOME DELIVERY</t>
  </si>
  <si>
    <t>CBPI 11394</t>
  </si>
  <si>
    <t>SI-550/2609/37758</t>
  </si>
  <si>
    <t>AN855116</t>
  </si>
  <si>
    <t>T5LYTF</t>
  </si>
  <si>
    <t>AN SVI 1ROW WG-9.2grs 75PAVE-1.58cts Sz S</t>
  </si>
  <si>
    <t>CBPI 11326</t>
  </si>
  <si>
    <t>CBPI 11395</t>
  </si>
  <si>
    <t>INV-550/2609/02811</t>
  </si>
  <si>
    <t>Tiara Rinardi</t>
  </si>
  <si>
    <t>AFH458</t>
  </si>
  <si>
    <t>BR SVI 1ROW BANGLE WG-19.9grs TITANIUM-2.2 8PAVE-0.47ct Sz 17</t>
  </si>
  <si>
    <t>CBPI 11354</t>
  </si>
  <si>
    <t>CBPI 11391</t>
  </si>
  <si>
    <t>CBPI 11396</t>
  </si>
  <si>
    <t>INV-PI/2609/02812</t>
  </si>
  <si>
    <t>Cially Than</t>
  </si>
  <si>
    <t>CL859268</t>
  </si>
  <si>
    <t>7EA7AP</t>
  </si>
  <si>
    <t>CL B01 ROCK LONG YG-24.9grs 76PAVE-0.38ct PENDANT</t>
  </si>
  <si>
    <t>CBPI 11327</t>
  </si>
  <si>
    <t>CBPI 11397</t>
  </si>
  <si>
    <t>SI-PI/2609/37768</t>
  </si>
  <si>
    <t>Meksi Damara</t>
  </si>
  <si>
    <t>DEPOSIT FULL PAYMENT RSI (349634 - ASP166)</t>
  </si>
  <si>
    <t>CBPI 11398</t>
  </si>
  <si>
    <t>INV-PI/2609/02814</t>
  </si>
  <si>
    <t>Wina NR</t>
  </si>
  <si>
    <t>OR856498</t>
  </si>
  <si>
    <t>AN856156</t>
  </si>
  <si>
    <t>AMT981</t>
  </si>
  <si>
    <t>A8RLX4</t>
  </si>
  <si>
    <t>OR SER VIPER WG-18.6grs 112PAVE-2.08cts</t>
  </si>
  <si>
    <t>AN SVI 2ROWS PG-14.4grs 1RBLT-0.28 122HEADPAVE- 2.42cts Sz M</t>
  </si>
  <si>
    <t>DISC APP MS JESSICA</t>
  </si>
  <si>
    <t>SMI</t>
  </si>
  <si>
    <t>FOC</t>
  </si>
  <si>
    <t>CBPI 11399</t>
  </si>
  <si>
    <t>SI-RBPI/2609/37774</t>
  </si>
  <si>
    <t>Radityo Wibowo</t>
  </si>
  <si>
    <t>Deposit Full Payment RBPI 8094606</t>
  </si>
  <si>
    <t>SI-RBPI/2609/37775</t>
  </si>
  <si>
    <t>Cindy Chandriani</t>
  </si>
  <si>
    <t>SI-RBPI/2609/37776</t>
  </si>
  <si>
    <t>AM4383</t>
  </si>
  <si>
    <t>W51AYL</t>
  </si>
  <si>
    <t>Oth COS (Engrave)</t>
  </si>
  <si>
    <t>CBPI 11400</t>
  </si>
  <si>
    <t>SI-550/2609/37780</t>
  </si>
  <si>
    <t>Matthew Aldo Susabda</t>
  </si>
  <si>
    <t>BVF EP THE IMPERIAL 25 EDT 75ML</t>
  </si>
  <si>
    <t>CL858837</t>
  </si>
  <si>
    <t>ARVK60</t>
  </si>
  <si>
    <t>CL B01 MINI PG-7.2grs PENDANT</t>
  </si>
  <si>
    <t>MDR</t>
  </si>
  <si>
    <t>M/MDR 12X</t>
  </si>
  <si>
    <t>CBPI 11401</t>
  </si>
  <si>
    <t>VOID</t>
  </si>
  <si>
    <t>INV-550/2609/02817</t>
  </si>
  <si>
    <t>CBPI 11402</t>
  </si>
  <si>
    <t>Dhea Zautha</t>
  </si>
  <si>
    <t>RE00020</t>
  </si>
  <si>
    <t>BUBVZ73</t>
  </si>
  <si>
    <t>W GG41 HMSD STE GRE STE AUT *LEAFLET &amp; BOX OCTO ROMA</t>
  </si>
  <si>
    <t>CBPI 11403</t>
  </si>
  <si>
    <t>SI-550/2609/37781</t>
  </si>
  <si>
    <t>Disa Soraya</t>
  </si>
  <si>
    <t>CL860844</t>
  </si>
  <si>
    <t>ARR775</t>
  </si>
  <si>
    <t>CL B01 MINI WG-6.9grs 48PAVE-0.25ct ON THE EDGES PENDANT</t>
  </si>
  <si>
    <t>D/MDR</t>
  </si>
  <si>
    <t>EXCHANGE 3 DAYS</t>
  </si>
  <si>
    <t>80 : 20 (MM &amp; HS)</t>
  </si>
  <si>
    <t>CBPI 11404</t>
  </si>
  <si>
    <t>INV-RBPI/2609/02818</t>
  </si>
  <si>
    <t>Rizky Pulungan</t>
  </si>
  <si>
    <t>BB26WSSD/N</t>
  </si>
  <si>
    <t>O4633</t>
  </si>
  <si>
    <t>CBPI 11315</t>
  </si>
  <si>
    <t>M/CIMB</t>
  </si>
  <si>
    <t>SI-PI/2609/37782 (Sales Support)</t>
  </si>
  <si>
    <t>CBPI 11405</t>
  </si>
  <si>
    <t>INV-PI/2609/02819</t>
  </si>
  <si>
    <t>Nana Eulia</t>
  </si>
  <si>
    <t>AN859090</t>
  </si>
  <si>
    <t>TPAK8R</t>
  </si>
  <si>
    <t>AN B01 ROCK 2BANDS PG-9.4grs 2BCR-0.10 Sz 48</t>
  </si>
  <si>
    <t>INV-550/2609/02820</t>
  </si>
  <si>
    <t>CBPI 11406</t>
  </si>
  <si>
    <t>Yossi Leonita</t>
  </si>
  <si>
    <t>RE00133</t>
  </si>
  <si>
    <t>BUD653V</t>
  </si>
  <si>
    <t>W BB23 HM STE-GL3N WHT MOP STE-GL3N DIAM *LEAFLET</t>
  </si>
  <si>
    <t>OR858201</t>
  </si>
  <si>
    <t>6ZW8N1</t>
  </si>
  <si>
    <t>OR (SINGLE) BGB PG-2.0grs 14PAVE-0.09ct</t>
  </si>
  <si>
    <t>BR857243</t>
  </si>
  <si>
    <t>AR1P34</t>
  </si>
  <si>
    <t>BR BGB PG-10.4grs 2MOP-0.35 2ONYX-0.33 Sz SM</t>
  </si>
  <si>
    <t>AF3Y92</t>
  </si>
  <si>
    <t xml:space="preserve"> D/MDR</t>
  </si>
  <si>
    <t>CBPI 11407</t>
  </si>
  <si>
    <t>INV-550/2609/02821</t>
  </si>
  <si>
    <t>BR859000</t>
  </si>
  <si>
    <t>R4P3LL</t>
  </si>
  <si>
    <t>BR B01 BANGLE WG-24.4grs 100PAVE-1.01cts Sz M</t>
  </si>
  <si>
    <t>80 : 20 (HS)</t>
  </si>
  <si>
    <t>CBPI 11408</t>
  </si>
  <si>
    <t>INV-550/2609/02822</t>
  </si>
  <si>
    <t>Irma Kurniawati</t>
  </si>
  <si>
    <t>AN858824</t>
  </si>
  <si>
    <t>AP3M65</t>
  </si>
  <si>
    <t>AN SSC 2COILS PG-10.6grs 6PAVE-0.10ct ON HEAD &amp; TAIL Sz L</t>
  </si>
  <si>
    <t>MANDIRI</t>
  </si>
  <si>
    <t>M/BCA</t>
  </si>
  <si>
    <t>V/UOB</t>
  </si>
  <si>
    <t>CBPI 11409</t>
  </si>
  <si>
    <t>SI-550/2609/37785</t>
  </si>
  <si>
    <t>Valencia Saputra</t>
  </si>
  <si>
    <t>Deposit RSI 360699 - OR859982 - 6EWXS7</t>
  </si>
  <si>
    <t>CBPI 11433</t>
  </si>
  <si>
    <t>INV-550/2609/02823</t>
  </si>
  <si>
    <t>Johny Wiraatmadja</t>
  </si>
  <si>
    <t>BBL33C6SS/12/QZ</t>
  </si>
  <si>
    <t>BU9VB7J</t>
  </si>
  <si>
    <t>W BB33 HM STE ANT STE DIAM-STO D1 QTZ *LEAFLET</t>
  </si>
  <si>
    <t>SI-RBPI/2609/37786</t>
  </si>
  <si>
    <t>Sandredee Siwalette</t>
  </si>
  <si>
    <t>RE00082</t>
  </si>
  <si>
    <t>BUB64BG</t>
  </si>
  <si>
    <t>Basic Service (Purchase Warranty)</t>
  </si>
  <si>
    <t>SI-PI/2609/37787 (Sales Support)</t>
  </si>
  <si>
    <t>SI-PI/2609/37789</t>
  </si>
  <si>
    <t>Felicia Mirabel</t>
  </si>
  <si>
    <t xml:space="preserve">CL860820 </t>
  </si>
  <si>
    <t>AR8391</t>
  </si>
  <si>
    <t>D/BCA</t>
  </si>
  <si>
    <t>CL B01 MINI PG-6.4grs 48PAVE-0.25ct ON THE EDGES PENDANT</t>
  </si>
  <si>
    <t>SI-PI/2609/37790</t>
  </si>
  <si>
    <t>Shania Maureen</t>
  </si>
  <si>
    <t>Deposit RSI 336003 - TVTM44 &amp; 349707 - 751H55</t>
  </si>
  <si>
    <t>V/MANDIRI</t>
  </si>
  <si>
    <t>CBPI 11410</t>
  </si>
  <si>
    <t>CBPI 11411</t>
  </si>
  <si>
    <t>SI-PI/2609/37791</t>
  </si>
  <si>
    <t>Rica Septiyana</t>
  </si>
  <si>
    <t xml:space="preserve">CL858925 </t>
  </si>
  <si>
    <t>ARL648</t>
  </si>
  <si>
    <t>CL SSC PG-12.6grs 7PAVE-0.13ct PENDANT</t>
  </si>
  <si>
    <t>M/BCA(6X)</t>
  </si>
  <si>
    <t>CBPI 11413</t>
  </si>
  <si>
    <t>CBPI 11415</t>
  </si>
  <si>
    <t>SI-PI/2609/37793</t>
  </si>
  <si>
    <t xml:space="preserve">Wei Ge </t>
  </si>
  <si>
    <t>CL860377</t>
  </si>
  <si>
    <t>ARX136</t>
  </si>
  <si>
    <t>CL DIVA YG-6.0grs 1DIA-0.03ct 1ONYX-0.24 11PAVE-0.10ct PENDANT</t>
  </si>
  <si>
    <t>BRI</t>
  </si>
  <si>
    <t>V/UNIONPAY</t>
  </si>
  <si>
    <t>CBPI 11416</t>
  </si>
  <si>
    <t>INV-PI/2609/02827</t>
  </si>
  <si>
    <t>Sarah Tio</t>
  </si>
  <si>
    <t>BR857359</t>
  </si>
  <si>
    <t>AMT565</t>
  </si>
  <si>
    <t>BR B01 MINI WG-8.3grs 51PAVE-0.31ct Sz SM</t>
  </si>
  <si>
    <t>CBPI 11418</t>
  </si>
  <si>
    <t>INV-PI/2609/02828</t>
  </si>
  <si>
    <t>Donald Panggari</t>
  </si>
  <si>
    <t>AN859080</t>
  </si>
  <si>
    <t>T4TRWM</t>
  </si>
  <si>
    <t>AN B01 ROCK 1BAND PG-9.1grs 2BCR-0.10 Sz 50</t>
  </si>
  <si>
    <t>EXCHANGE 5 DAYS UNTIL 12/09/26 (MM)</t>
  </si>
  <si>
    <t>SI-RBPI/2609/37792</t>
  </si>
  <si>
    <t>DEPOSIT FULL PAYMENT RBPI 8094634</t>
  </si>
  <si>
    <t>CBPI 11414</t>
  </si>
  <si>
    <t>INV-PI/2609/02826</t>
  </si>
  <si>
    <t>Lely Natali</t>
  </si>
  <si>
    <t>BRA BZ30 CLF BLK GLS S.M I16.00 B12.00</t>
  </si>
  <si>
    <t>CBPI 11417</t>
  </si>
  <si>
    <t>SI-RBPI/2609/37797</t>
  </si>
  <si>
    <t>Alexandra Askandar</t>
  </si>
  <si>
    <t>DEPOSIT 50% RBPI 8094590</t>
  </si>
  <si>
    <t>CBPI 11419</t>
  </si>
  <si>
    <t>SI-PI/2609/37799</t>
  </si>
  <si>
    <t>OR859982</t>
  </si>
  <si>
    <t>6EWXS7</t>
  </si>
  <si>
    <t>OR DIVA PG-17.2grs 2DIA-0.40ct 2RBLT-0.60 3MOP-0.59 150PAVE-1.81cts</t>
  </si>
  <si>
    <t>GV BHR</t>
  </si>
  <si>
    <t>CBPI 11420</t>
  </si>
  <si>
    <t>INV-RBPI/2609/02830</t>
  </si>
  <si>
    <t>Karima Anjani</t>
  </si>
  <si>
    <t>BB33WSSD</t>
  </si>
  <si>
    <t>L9030</t>
  </si>
  <si>
    <t>Diagnostic Fee</t>
  </si>
  <si>
    <t>CBPI 11421</t>
  </si>
  <si>
    <t>INV-RBPI/2609/02831</t>
  </si>
  <si>
    <t>Basic Service</t>
  </si>
  <si>
    <t>BB30 SSD</t>
  </si>
  <si>
    <t>F32905</t>
  </si>
  <si>
    <t>CBPI 11308, 11399</t>
  </si>
  <si>
    <t>SI-PI/2609/37801 (Sales Support)</t>
  </si>
  <si>
    <t>SI-RBPI/2609/37802</t>
  </si>
  <si>
    <t>SI-RBPI/2609/37803</t>
  </si>
  <si>
    <t>Friska Theresia</t>
  </si>
  <si>
    <t>AN857896</t>
  </si>
  <si>
    <t>ANH353</t>
  </si>
  <si>
    <t>AN859325</t>
  </si>
  <si>
    <t>7LYWCR</t>
  </si>
  <si>
    <t>INV-PI/2609/02834</t>
  </si>
  <si>
    <t>CBPI 11423</t>
  </si>
  <si>
    <t>Elly Kartini</t>
  </si>
  <si>
    <t>OR860376</t>
  </si>
  <si>
    <t>AF9K21</t>
  </si>
  <si>
    <t>OR DIVA YG-2.7grs 2ONYX-0.18 48PAVE-0.10ct</t>
  </si>
  <si>
    <t>V/MDR</t>
  </si>
  <si>
    <t>CBPI 11424</t>
  </si>
  <si>
    <t>SI-550/2609/37814</t>
  </si>
  <si>
    <t>BR860201</t>
  </si>
  <si>
    <t>6AS9YL</t>
  </si>
  <si>
    <t>BR SVI 2ROW PG-38.4grs TITANIUM-4.2 126PAVE-5.30cts Sz 15</t>
  </si>
  <si>
    <t>CBPI 11425</t>
  </si>
  <si>
    <t>SI-RBPI/2609/37815</t>
  </si>
  <si>
    <t>Andy Maulana</t>
  </si>
  <si>
    <t>Deposit Full Payment RBPI 8094631</t>
  </si>
  <si>
    <t>CBPI 11426</t>
  </si>
  <si>
    <t>INV-550/2609/02837</t>
  </si>
  <si>
    <t>Christy Christy</t>
  </si>
  <si>
    <t>BR857363</t>
  </si>
  <si>
    <t>71EHX4</t>
  </si>
  <si>
    <t>BR DIVA PG-3.9grs 24PAVE-0.26ct Sz SM</t>
  </si>
  <si>
    <t>CASHBACK MAYBANK RP 2,500,000</t>
  </si>
  <si>
    <t>CBPI 11427</t>
  </si>
  <si>
    <t>SI-550/2609/37819</t>
  </si>
  <si>
    <t>Serly Serly</t>
  </si>
  <si>
    <t>CL860784</t>
  </si>
  <si>
    <t>ALSS00</t>
  </si>
  <si>
    <t>CL B01 MINI YG-6.6grs 48PAVE-0.25ct ON THE EDGES PENDANT</t>
  </si>
  <si>
    <t>V/MAYBANK 3X</t>
  </si>
  <si>
    <t>DISC APPROVAL BU PUTRI</t>
  </si>
  <si>
    <t>CBPI 11428</t>
  </si>
  <si>
    <t>SI-PI/2609/37822</t>
  </si>
  <si>
    <t>CL860820</t>
  </si>
  <si>
    <t>AR6C37</t>
  </si>
  <si>
    <t>CBPI 11429</t>
  </si>
  <si>
    <t>INV-PI/2609/02838</t>
  </si>
  <si>
    <t>Jeffry Jeffry</t>
  </si>
  <si>
    <t>AN855962</t>
  </si>
  <si>
    <t>AR8A74</t>
  </si>
  <si>
    <t>AN B01 2BANDS PG-5.5grs 1BCR-3.67 Sz 62</t>
  </si>
  <si>
    <t>INV-PI/2609/02840</t>
  </si>
  <si>
    <t>AN856980</t>
  </si>
  <si>
    <t>AN852422</t>
  </si>
  <si>
    <t>751H55</t>
  </si>
  <si>
    <t>TVTM44</t>
  </si>
  <si>
    <t>AN SVI WB PG-3.7grs 26PAVE-0.45ct Sz 48</t>
  </si>
  <si>
    <t>AN B01 1BAND PG-8.8grs Sz 62</t>
  </si>
  <si>
    <t>CBPI 11431</t>
  </si>
  <si>
    <t>CBPI 11430</t>
  </si>
  <si>
    <t>INV-RBPI/2609/02839</t>
  </si>
  <si>
    <t>Astari Napitupulu</t>
  </si>
  <si>
    <t>BBL26WSS/12</t>
  </si>
  <si>
    <t>PO4250</t>
  </si>
  <si>
    <t>CBPI 11302</t>
  </si>
  <si>
    <t>SI-PI/2609/37824 (Sales Support)</t>
  </si>
  <si>
    <t>GIFT TRINKET TRAY</t>
  </si>
  <si>
    <t>CBPI 10432</t>
  </si>
  <si>
    <t>SI-PI/2609/37825</t>
  </si>
  <si>
    <t>Monalisa Marpaung</t>
  </si>
  <si>
    <t>AN859914</t>
  </si>
  <si>
    <t>AE5731</t>
  </si>
  <si>
    <t>AN SVI 1ROW PG-6.6grs 6PAVE-0.14ct Sz 48-50</t>
  </si>
  <si>
    <t>CIMB NIAGA</t>
  </si>
  <si>
    <t>M/CIMB NIAGA 24X</t>
  </si>
  <si>
    <t>SI-PI/2609/37830</t>
  </si>
  <si>
    <t>Wisni Wardhana</t>
  </si>
  <si>
    <t>BBL23WSS</t>
  </si>
  <si>
    <t>BUEKIAG</t>
  </si>
  <si>
    <t>W BB23 HM STE GRE MOP STE STO *LEAFLET 807853</t>
  </si>
  <si>
    <t>SI-PI/2609/37832</t>
  </si>
  <si>
    <t>Catherine Venessa</t>
  </si>
  <si>
    <t>AFEM79</t>
  </si>
  <si>
    <t>EXCHANGE 3 DAYS UNTIL 14/09/26</t>
  </si>
  <si>
    <t>CBPI 11434</t>
  </si>
  <si>
    <t>CBPI 11435</t>
  </si>
  <si>
    <t>CBPI 11437</t>
  </si>
  <si>
    <t>CBPI 11438</t>
  </si>
  <si>
    <t>Budiharto</t>
  </si>
  <si>
    <t>INV-PI/2609/02844</t>
  </si>
  <si>
    <t xml:space="preserve">BR860842 </t>
  </si>
  <si>
    <t>AMZL13</t>
  </si>
  <si>
    <t>BR B01 MINI BANGLE WG-13.4grs TITANIUM-0.7 Sz 15</t>
  </si>
  <si>
    <t>CBPI 11436</t>
  </si>
  <si>
    <t>INV-RBPI/2609/02843</t>
  </si>
  <si>
    <t>BBL26WSPG/12</t>
  </si>
  <si>
    <t>L5914</t>
  </si>
  <si>
    <t>CIMBNIAGA</t>
  </si>
  <si>
    <t>M//CIMBNIAGA</t>
  </si>
  <si>
    <t>SI-PI/2609/37833 (Sales Support)</t>
  </si>
  <si>
    <t>CBPI 11439</t>
  </si>
  <si>
    <t>INV-RBPI/2609/02848</t>
  </si>
  <si>
    <t>Sita Satar</t>
  </si>
  <si>
    <t>BB23</t>
  </si>
  <si>
    <t>D107031</t>
  </si>
  <si>
    <t>CBPI 11259</t>
  </si>
  <si>
    <t>CBPI 11440</t>
  </si>
  <si>
    <t>INV-RBPI/2609/02849</t>
  </si>
  <si>
    <t>100765</t>
  </si>
  <si>
    <t>RTC 49 S</t>
  </si>
  <si>
    <t>L5613</t>
  </si>
  <si>
    <t>SI-PI/2609/37834 (Sales Support)</t>
  </si>
  <si>
    <t>CBPI 11441</t>
  </si>
  <si>
    <t>SI-RBPI/2609/37835</t>
  </si>
  <si>
    <t>DEPOSIT 50% RBPI 8094567</t>
  </si>
  <si>
    <t>V/DBS</t>
  </si>
  <si>
    <t>CBPI 11442</t>
  </si>
  <si>
    <t>INV-RBPI/2609/02850</t>
  </si>
  <si>
    <t>CBPI 11443</t>
  </si>
  <si>
    <t>SI-550/2609/37837</t>
  </si>
  <si>
    <t>Juliana Tjokro</t>
  </si>
  <si>
    <t xml:space="preserve">DEPOSIT RSI - AN859915 - 360471 - ARZM61 </t>
  </si>
  <si>
    <t>V/Others</t>
  </si>
  <si>
    <t>CBPI 11444</t>
  </si>
  <si>
    <t>SI-550/2609/37838</t>
  </si>
  <si>
    <t>Agus Priatna</t>
  </si>
  <si>
    <t>Deposit Full Payment RSI - 291243</t>
  </si>
  <si>
    <t>CBPI 11445</t>
  </si>
  <si>
    <t>SI-550/2609/37839</t>
  </si>
  <si>
    <t>Ajeng Ratna Ningrum</t>
  </si>
  <si>
    <t>Full Payment RSI - AN859915 - 360467 - AH7X26</t>
  </si>
  <si>
    <t>SI-RBPI/2609/37840</t>
  </si>
  <si>
    <t>Carrine Thunggawan</t>
  </si>
  <si>
    <t>ANVA51</t>
  </si>
  <si>
    <t>SI-RBPI/2609/37841</t>
  </si>
  <si>
    <t>OR860719</t>
  </si>
  <si>
    <t>ANVK23</t>
  </si>
  <si>
    <t>Oth COS (SET PIN)</t>
  </si>
  <si>
    <t>SI-RBPI/2609/37842</t>
  </si>
  <si>
    <t>ANVH31</t>
  </si>
  <si>
    <t>SI-PI/2609/37843 (Sales Support)</t>
  </si>
  <si>
    <t>CBPI 11446</t>
  </si>
  <si>
    <t>INV-550/2609/02852</t>
  </si>
  <si>
    <t>Djhonsend Djonny Anthony</t>
  </si>
  <si>
    <t>AN855964</t>
  </si>
  <si>
    <t>X84A2M</t>
  </si>
  <si>
    <t>AN B01 2BANDS PG-5.0grs 1WCR-3.20 Sz 51</t>
  </si>
  <si>
    <t>CBPI 11447</t>
  </si>
  <si>
    <t>SI-550/2609/37845</t>
  </si>
  <si>
    <t>AN860829</t>
  </si>
  <si>
    <t>ARCF85</t>
  </si>
  <si>
    <t>AN B01 2BANDS YG-4.3grs STEEL-2.3 Sz 57</t>
  </si>
  <si>
    <t>CBPI 11448</t>
  </si>
  <si>
    <t>SI-550/2609/37846</t>
  </si>
  <si>
    <t>Jungyuen Choi</t>
  </si>
  <si>
    <t>CL859867</t>
  </si>
  <si>
    <t>AR2303</t>
  </si>
  <si>
    <t>CL DIVA PG-4.9grs 1DIA-0.03ct 1MOP-0.36 PENDANT</t>
  </si>
  <si>
    <t>SI-RBPI/2609/37847</t>
  </si>
  <si>
    <t>Sari Cahya</t>
  </si>
  <si>
    <t>CL857832</t>
  </si>
  <si>
    <t>AHCZ41</t>
  </si>
  <si>
    <t>SI-RBPI/2609/37848</t>
  </si>
  <si>
    <t>OR860238</t>
  </si>
  <si>
    <t>6WVM6T</t>
  </si>
  <si>
    <t>SI-RBPI/2609/37849</t>
  </si>
  <si>
    <t>OR860558</t>
  </si>
  <si>
    <t>AKZ333</t>
  </si>
  <si>
    <t>Michael Lee</t>
  </si>
  <si>
    <t>CBPI 11449</t>
  </si>
  <si>
    <t>INV-RBPI/2609/02857</t>
  </si>
  <si>
    <t>Agistia Puspitasari</t>
  </si>
  <si>
    <t>BB33SGD</t>
  </si>
  <si>
    <t>L171182</t>
  </si>
  <si>
    <t>CBPI 11339</t>
  </si>
  <si>
    <t>CBPI 11450</t>
  </si>
  <si>
    <t>SI-550/2609/37852</t>
  </si>
  <si>
    <t>BVF EP THE IMPERIAL 25 EDT 150ML</t>
  </si>
  <si>
    <t>CBPI 11451</t>
  </si>
  <si>
    <t>INV-550/2609/02858</t>
  </si>
  <si>
    <t>291243DIZ1</t>
  </si>
  <si>
    <t>BBM-LOGO BRAID 400034 M W0001 CA BK/DR *SS26</t>
  </si>
  <si>
    <t>CBPI 11452</t>
  </si>
  <si>
    <t>INV-RBPI/2609/02859</t>
  </si>
  <si>
    <t>Mellisa Woen</t>
  </si>
  <si>
    <t>BB23SS</t>
  </si>
  <si>
    <t>J290623</t>
  </si>
  <si>
    <t>CBPI 11316</t>
  </si>
  <si>
    <t>M/UOB</t>
  </si>
  <si>
    <t>CBPI 11453</t>
  </si>
  <si>
    <t>INV-RBPI/2609/02860</t>
  </si>
  <si>
    <t>BB26.2TG</t>
  </si>
  <si>
    <t>D313893</t>
  </si>
  <si>
    <t>SI-PI/2609/37856 (Sales Support)</t>
  </si>
  <si>
    <t>SI-RBPI/2609/37854</t>
  </si>
  <si>
    <t>Richard Wong</t>
  </si>
  <si>
    <t>AN859948</t>
  </si>
  <si>
    <t>AK9N47</t>
  </si>
  <si>
    <t>SI-RBPI/2609/37855</t>
  </si>
  <si>
    <t>95XE77</t>
  </si>
  <si>
    <t>CBPI 11454</t>
  </si>
  <si>
    <t>INV-550/2609/02868</t>
  </si>
  <si>
    <t>Rita Yuliana</t>
  </si>
  <si>
    <t>BR860572</t>
  </si>
  <si>
    <t>AMXT94</t>
  </si>
  <si>
    <t>BR BGB BANGLE YG-10.8grs TITANIUM-1.4 2ONYX-0.30 Sz 15</t>
  </si>
  <si>
    <t>CBPI 11457</t>
  </si>
  <si>
    <t>SI-PI/2609/37869</t>
  </si>
  <si>
    <t>Kathy Lim</t>
  </si>
  <si>
    <t>AN7551</t>
  </si>
  <si>
    <t>AN B01 2BANDS YG-4.1grs STEEL-2.1 Sz 54</t>
  </si>
  <si>
    <t>CBPI 11458</t>
  </si>
  <si>
    <t>SI-PI/2609/37871</t>
  </si>
  <si>
    <t>Sabrina Alatas</t>
  </si>
  <si>
    <t>AR6Z32</t>
  </si>
  <si>
    <t>CBPI 11455</t>
  </si>
  <si>
    <t>INV-RBPI/2609/02869</t>
  </si>
  <si>
    <t>Eka Setiawati</t>
  </si>
  <si>
    <t>SP35C6SS.1T</t>
  </si>
  <si>
    <t>BUAMJVI</t>
  </si>
  <si>
    <t>CBPI 11358</t>
  </si>
  <si>
    <t>SI-PI/2609/37870 (Sales Support)</t>
  </si>
  <si>
    <t>SI-RBPI/2609/37868</t>
  </si>
  <si>
    <t>BR860954</t>
  </si>
  <si>
    <t>ARC574</t>
  </si>
  <si>
    <t>Others COS</t>
  </si>
  <si>
    <t>CBPI 11456</t>
  </si>
  <si>
    <t>SI-PI/2609/37873</t>
  </si>
  <si>
    <t>Freya Rizal</t>
  </si>
  <si>
    <t>AN859916</t>
  </si>
  <si>
    <t>ARZ701</t>
  </si>
  <si>
    <t>AN SVI 1ROW YG-6.8grs 6PAVE-0.14ct Sz 51-53</t>
  </si>
  <si>
    <t>CHARGER GIFT</t>
  </si>
  <si>
    <t>CBPI 11459</t>
  </si>
  <si>
    <t>TRANSAKSI PS</t>
  </si>
  <si>
    <t>CLAIM PIP</t>
  </si>
  <si>
    <t>CBPI 11460</t>
  </si>
  <si>
    <t>SI-PI/2609/37875</t>
  </si>
  <si>
    <t>Rao</t>
  </si>
  <si>
    <t>RE00006</t>
  </si>
  <si>
    <t>BUCCWKV</t>
  </si>
  <si>
    <t>W LU33 HMS STE WHT MOP STE DIAM D1 AUT *LEAFLET 807853</t>
  </si>
  <si>
    <t>CBPI 11461</t>
  </si>
  <si>
    <t>INV-PI/2609/02873</t>
  </si>
  <si>
    <t>Djie San Tan</t>
  </si>
  <si>
    <t>BBL33C5STPGD/12</t>
  </si>
  <si>
    <t>BU8IW6H</t>
  </si>
  <si>
    <t>W BB33 HM STE-GL5N ANT STE DIAM-STO D1 S *Leaflet 807853</t>
  </si>
  <si>
    <t>M/CIMB NIAGA 12X</t>
  </si>
  <si>
    <t>CBPI 11462</t>
  </si>
  <si>
    <t>INV-RBPI/2609/02874</t>
  </si>
  <si>
    <t>Oei Ie Lan</t>
  </si>
  <si>
    <t>SPC35BGDBCGD1.1T</t>
  </si>
  <si>
    <t>PO1334</t>
  </si>
  <si>
    <t>CBPI 11221</t>
  </si>
  <si>
    <t>SI-PI/2609/37876 (Sales Support)</t>
  </si>
  <si>
    <t>AR</t>
  </si>
  <si>
    <t>CATHAY EVENT</t>
  </si>
  <si>
    <t>CBPI 11463</t>
  </si>
  <si>
    <t>SI-PI/2609/37877</t>
  </si>
  <si>
    <t>Valery Brahmana</t>
  </si>
  <si>
    <t>BR860205</t>
  </si>
  <si>
    <t>AMX834</t>
  </si>
  <si>
    <t>BR BGB PG-10.6grs TITANIUM-1.4 2MOP-0.30 Sz 15</t>
  </si>
  <si>
    <t>ARIF PS</t>
  </si>
  <si>
    <t>70 : 30</t>
  </si>
  <si>
    <t>CBPI 11464</t>
  </si>
  <si>
    <t>INV-PI/2609/02875</t>
  </si>
  <si>
    <t>Ibrahim Achmad</t>
  </si>
  <si>
    <t>AEZ596</t>
  </si>
  <si>
    <t>AH1W24</t>
  </si>
  <si>
    <t>OR858332</t>
  </si>
  <si>
    <t>OR (SINGLE) BGB PG-1.7grs 1MOP-0.07</t>
  </si>
  <si>
    <t>EXCHANGE 3 DAYS UNTIL 20/09/26 (MM)</t>
  </si>
  <si>
    <t>CBPI 11465</t>
  </si>
  <si>
    <t>CBPI 11466</t>
  </si>
  <si>
    <t>SI-PI/2609/37885</t>
  </si>
  <si>
    <t>Rosalind Gunawan</t>
  </si>
  <si>
    <t>BR860038</t>
  </si>
  <si>
    <t>APVM37</t>
  </si>
  <si>
    <t>BR SVI 1ROW BANGLE PG-16.4grs TITANIUM-1.6 8PAVE-0.47ct Sz 14 / XS</t>
  </si>
  <si>
    <t>TRINKET GIFT</t>
  </si>
  <si>
    <t>SI-RBPI/2609/37883</t>
  </si>
  <si>
    <t>SI-RBPI/2609/37884</t>
  </si>
  <si>
    <t>AF2M70</t>
  </si>
  <si>
    <t>Alvin Ansari</t>
  </si>
  <si>
    <t>APRY24</t>
  </si>
  <si>
    <t>SI-RBPI/2609/37886</t>
  </si>
  <si>
    <t>Rindina Hundura</t>
  </si>
  <si>
    <t>CBPI 11467</t>
  </si>
  <si>
    <t>CBPI 11469</t>
  </si>
  <si>
    <t>INV-PI/2609/02880</t>
  </si>
  <si>
    <t>Dwi Aprilia Isma Rahmadhawaty</t>
  </si>
  <si>
    <t>CL858924</t>
  </si>
  <si>
    <t>7TCVX4</t>
  </si>
  <si>
    <t>CL SSC PG-11.9grs 43PAVE-0.63ct PENDANT</t>
  </si>
  <si>
    <t>CBPI 11468</t>
  </si>
  <si>
    <t>INV-RBPI/2609/02878</t>
  </si>
  <si>
    <t>Fitria Al Habsy</t>
  </si>
  <si>
    <t>-</t>
  </si>
  <si>
    <t>LVF5FF</t>
  </si>
  <si>
    <t>CBPI 11202</t>
  </si>
  <si>
    <t>806855</t>
  </si>
  <si>
    <t>SI-PI/2609/37888 (Sales Support)</t>
  </si>
  <si>
    <t>CBPI 11412</t>
  </si>
  <si>
    <t>CBPI 11470</t>
  </si>
  <si>
    <t>INV-PI/2609/02882</t>
  </si>
  <si>
    <t>AH7X26</t>
  </si>
  <si>
    <t>EXCHANGE 3 DAYS UNTIL 21/09/26 (MM)</t>
  </si>
  <si>
    <t>CBPI 11471</t>
  </si>
  <si>
    <t>INV-PI/2609/02883</t>
  </si>
  <si>
    <t>Fara Cesara</t>
  </si>
  <si>
    <t>AMXE90</t>
  </si>
  <si>
    <t>CBPI 11472</t>
  </si>
  <si>
    <t>INV-PI/2609/02885</t>
  </si>
  <si>
    <t>Li Xiaohong</t>
  </si>
  <si>
    <t>AN6X16</t>
  </si>
  <si>
    <t>UNIONPAY</t>
  </si>
  <si>
    <t>CBPI 11473</t>
  </si>
  <si>
    <t>INV-550/2609/02886</t>
  </si>
  <si>
    <t>Erni Dian Mayasari</t>
  </si>
  <si>
    <t>AN191024</t>
  </si>
  <si>
    <t>6LXPTF</t>
  </si>
  <si>
    <t>AN B01 3BANDS WG 9.6grs Sz 48</t>
  </si>
  <si>
    <t>CBPI 11474</t>
  </si>
  <si>
    <t>SI-550/2609/37891</t>
  </si>
  <si>
    <t>Lita Naulita Darmawan</t>
  </si>
  <si>
    <t>AR7Y94</t>
  </si>
  <si>
    <t>AN B01 2BANDS YG-4.1grs STEEL-2.2 Sz 55</t>
  </si>
  <si>
    <t>AMEX</t>
  </si>
  <si>
    <t>BNI</t>
  </si>
  <si>
    <t>CBPI 11475</t>
  </si>
  <si>
    <t>SI-550/2609/37892</t>
  </si>
  <si>
    <t>Nadhya Ramadhanty</t>
  </si>
  <si>
    <t>CL859866</t>
  </si>
  <si>
    <t>ANVV90</t>
  </si>
  <si>
    <t>CL DIVA PG-4.9grs 1DIA-0.03ct 1CARNELIAN-0.37 PENDANT</t>
  </si>
  <si>
    <t>SI-RBPI/2609/37894</t>
  </si>
  <si>
    <t>Christin Winata Halim</t>
  </si>
  <si>
    <t>CL859911</t>
  </si>
  <si>
    <t>6EX35V</t>
  </si>
  <si>
    <t>CBPI 11476</t>
  </si>
  <si>
    <t>SI-550/2609/37895</t>
  </si>
  <si>
    <t>ARZM61</t>
  </si>
  <si>
    <t>AN SVI 1ROW WG-7.3grs 6PAVE-0.14ct Sz 54-56</t>
  </si>
  <si>
    <t>SI-PI/2609/37900 (Sales Support)</t>
  </si>
  <si>
    <t>Cindyana Puspa Dewi</t>
  </si>
  <si>
    <t>SI-RBPI/2609/37898</t>
  </si>
  <si>
    <t>SI-RBPI/2609/37899</t>
  </si>
  <si>
    <t>AN B01</t>
  </si>
  <si>
    <t>CXT2SE</t>
  </si>
  <si>
    <t>AFME64</t>
  </si>
  <si>
    <t>80:20 (HS)</t>
  </si>
  <si>
    <t>CBPI 11477</t>
  </si>
  <si>
    <t>SI-RBPI/2609/37902</t>
  </si>
  <si>
    <t>Henny Herjanto</t>
  </si>
  <si>
    <t>Deposit Full Payment RBPI 8094642</t>
  </si>
  <si>
    <t>CBPI 11478</t>
  </si>
  <si>
    <t>CBPI 11479</t>
  </si>
  <si>
    <t>INV-RBPI/2609/02888</t>
  </si>
  <si>
    <t>Vilichea Sadikin</t>
  </si>
  <si>
    <t>BJ02</t>
  </si>
  <si>
    <t>G485</t>
  </si>
  <si>
    <t>M/CIMB NIAGA</t>
  </si>
  <si>
    <t>SI-PI/2609/37906 (Sales Support)</t>
  </si>
  <si>
    <t>SI-RBPI/2609/37911</t>
  </si>
  <si>
    <t>Mei Rita</t>
  </si>
  <si>
    <t>Deposit 50% for RBPI 8094639</t>
  </si>
  <si>
    <t>CBPI 11480</t>
  </si>
  <si>
    <t>DEPOSIT CSO 50% (104382)</t>
  </si>
  <si>
    <t>Ang Henry</t>
  </si>
  <si>
    <t>SI-PI/2609/37913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</si>
</sst>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43" formatCode="_(* #,##0.00_);_(* \(#,##0.00\);_(* &quot;-&quot;??_);_(@_)"/>
    <numFmt numFmtId="164" formatCode="_-&quot;Rp&quot;* #,##0_-;\-&quot;Rp&quot;* #,##0_-;_-&quot;Rp&quot;* &quot;-&quot;_-;_-@_-"/>
    <numFmt numFmtId="165" formatCode="* #,##0\ ;\-* #,##0\ ;* &quot;- &quot;;@\ "/>
    <numFmt numFmtId="166" formatCode="_-* #,##0.00_-;\-* #,##0.00_-;_-* \-??_-;_-@_-"/>
    <numFmt numFmtId="167" formatCode="* #,##0\ ;* \(#,##0\);* \-#\ ;@\ "/>
    <numFmt numFmtId="168" formatCode="* #,##0.00\ ;\-* #,##0.00\ ;* \-#\ ;@\ "/>
    <numFmt numFmtId="169" formatCode="mm/yy"/>
    <numFmt numFmtId="170" formatCode="* #,##0\ ;* \(#,##0\);* &quot;- &quot;;@\ "/>
    <numFmt numFmtId="171" formatCode="0.0%"/>
    <numFmt numFmtId="172" formatCode="* #,##0\ ;\-* #,##0\ ;* \-#\ ;@\ "/>
    <numFmt numFmtId="173" formatCode="0\ ;[Red]\(0\)"/>
    <numFmt numFmtId="174" formatCode="_([$IDR]\ * #,##0_);_([$IDR]\ * \(#,##0\);_([$IDR]\ * \-_);_(@_)"/>
    <numFmt numFmtId="175" formatCode="#,##0\ ;[Red]\-#,##0\ "/>
    <numFmt numFmtId="176" formatCode="d/mmm/yy;@"/>
    <numFmt numFmtId="177" formatCode="_(* #,##0_);_(* \(#,##0\);_(* &quot;-&quot;??_);_(@_)"/>
    <numFmt numFmtId="178" formatCode="#,##0&quot;   &quot;;[Red]\-#,##0&quot;   &quot;"/>
    <numFmt numFmtId="179" formatCode="#,##0&quot;   &quot;;\-#,##0&quot;   &quot;"/>
    <numFmt numFmtId="180" formatCode="#,##0\ "/>
    <numFmt numFmtId="181" formatCode="[$IDR]\ #,##0"/>
    <numFmt numFmtId="182" formatCode="[$-409]d\-mmm"/>
    <numFmt numFmtId="183" formatCode="[$-F800]dddd\,\ mmmm\ dd\,\ yyyy"/>
    <numFmt numFmtId="184" formatCode="[$-13809]d\ mmm\ yyyy;@"/>
    <numFmt numFmtId="185" formatCode="[$-13809]dd/mm/yy;@"/>
    <numFmt numFmtId="186" formatCode="[$-14009]dd\-mm\-yy;@"/>
    <numFmt numFmtId="187" formatCode="[$-14009]d\-mmm;@"/>
  </numFmts>
  <fonts count="86">
    <font>
      <sz val="12"/>
      <name val="新細明體"/>
      <charset val="134"/>
    </font>
    <font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4"/>
      <color rgb="FFFF0000"/>
      <name val="Arial"/>
      <family val="2"/>
    </font>
    <font>
      <b/>
      <sz val="14"/>
      <name val="Bitstream Charter"/>
      <charset val="134"/>
    </font>
    <font>
      <sz val="12"/>
      <name val="Arial"/>
      <family val="2"/>
    </font>
    <font>
      <sz val="14"/>
      <name val="Bitstream Charter"/>
      <charset val="134"/>
    </font>
    <font>
      <sz val="12"/>
      <name val="Bitstream Charter"/>
      <charset val="134"/>
    </font>
    <font>
      <b/>
      <sz val="12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i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6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12"/>
      <color indexed="8"/>
      <name val="Tahoma"/>
      <family val="2"/>
    </font>
    <font>
      <sz val="8"/>
      <name val="新細明體"/>
      <charset val="134"/>
    </font>
    <font>
      <sz val="14"/>
      <color theme="0"/>
      <name val="Arial"/>
      <family val="2"/>
    </font>
    <font>
      <sz val="12"/>
      <name val="新細明體"/>
    </font>
    <font>
      <sz val="12"/>
      <name val="新細明體"/>
      <charset val="134"/>
    </font>
    <font>
      <b/>
      <sz val="14"/>
      <color theme="4" tint="-0.249977111117893"/>
      <name val="Arial"/>
      <family val="2"/>
    </font>
    <font>
      <b/>
      <sz val="12"/>
      <name val="Tahoma"/>
      <family val="2"/>
    </font>
    <font>
      <b/>
      <sz val="12"/>
      <color indexed="8"/>
      <name val="Tahoma"/>
      <family val="2"/>
    </font>
    <font>
      <b/>
      <sz val="12"/>
      <color rgb="FFFF0000"/>
      <name val="Tahoma"/>
      <family val="2"/>
    </font>
    <font>
      <sz val="12"/>
      <name val="Tahoma"/>
      <family val="2"/>
    </font>
    <font>
      <b/>
      <sz val="12"/>
      <color theme="1"/>
      <name val="Tahoma"/>
      <family val="2"/>
    </font>
    <font>
      <b/>
      <sz val="12"/>
      <color rgb="FF212529"/>
      <name val="Tahoma"/>
      <family val="2"/>
    </font>
    <font>
      <sz val="12"/>
      <color rgb="FF212529"/>
      <name val="Tahoma"/>
      <family val="2"/>
    </font>
    <font>
      <b/>
      <u/>
      <sz val="12"/>
      <name val="Tahoma"/>
      <family val="2"/>
    </font>
    <font>
      <sz val="11"/>
      <name val="Tahoma"/>
      <family val="2"/>
    </font>
    <font>
      <b/>
      <sz val="12"/>
      <color indexed="16"/>
      <name val="Tahoma"/>
      <family val="2"/>
    </font>
    <font>
      <b/>
      <i/>
      <sz val="12"/>
      <name val="Tahoma"/>
      <family val="2"/>
    </font>
    <font>
      <b/>
      <i/>
      <sz val="12"/>
      <color indexed="11"/>
      <name val="Tahoma"/>
      <family val="2"/>
    </font>
    <font>
      <b/>
      <sz val="12"/>
      <color indexed="11"/>
      <name val="Tahoma"/>
      <family val="2"/>
    </font>
    <font>
      <b/>
      <i/>
      <sz val="12"/>
      <color indexed="24"/>
      <name val="Tahoma"/>
      <family val="2"/>
    </font>
    <font>
      <b/>
      <sz val="12"/>
      <color indexed="24"/>
      <name val="Tahoma"/>
      <family val="2"/>
    </font>
    <font>
      <b/>
      <sz val="12"/>
      <color indexed="52"/>
      <name val="Tahoma"/>
      <family val="2"/>
    </font>
    <font>
      <sz val="12"/>
      <color rgb="FFFF0000"/>
      <name val="Tahoma"/>
      <family val="2"/>
    </font>
    <font>
      <b/>
      <i/>
      <sz val="12"/>
      <color rgb="FFFF0000"/>
      <name val="Tahoma"/>
      <family val="2"/>
    </font>
    <font>
      <b/>
      <sz val="12"/>
      <color indexed="60"/>
      <name val="Tahoma"/>
      <family val="2"/>
    </font>
    <font>
      <i/>
      <sz val="12"/>
      <color rgb="FFFF0000"/>
      <name val="Tahoma"/>
      <family val="2"/>
    </font>
    <font>
      <i/>
      <sz val="12"/>
      <name val="Tahoma"/>
      <family val="2"/>
    </font>
    <font>
      <sz val="12"/>
      <name val="Tahoma"/>
      <family val="2"/>
      <charset val="1"/>
    </font>
    <font>
      <sz val="12"/>
      <color indexed="8"/>
      <name val="Tahoma"/>
      <family val="2"/>
      <charset val="1"/>
    </font>
    <font>
      <sz val="12"/>
      <name val="Arial"/>
      <family val="2"/>
      <charset val="1"/>
    </font>
    <font>
      <sz val="14"/>
      <name val="Bitstream Charter"/>
      <charset val="1"/>
    </font>
    <font>
      <sz val="11"/>
      <name val="Tahoma"/>
      <family val="2"/>
      <charset val="1"/>
    </font>
    <font>
      <b/>
      <sz val="14"/>
      <color theme="5" tint="-0.249977111117893"/>
      <name val="Arial Black"/>
      <family val="2"/>
    </font>
    <font>
      <b/>
      <sz val="16"/>
      <color theme="5" tint="-0.249977111117893"/>
      <name val="Arial Blac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name val="Tahoma"/>
      <family val="2"/>
    </font>
    <font>
      <sz val="11"/>
      <color rgb="FF006100"/>
      <name val="Calibri"/>
      <family val="2"/>
      <scheme val="minor"/>
    </font>
    <font>
      <sz val="12"/>
      <color theme="1"/>
      <name val="Tahoma"/>
      <family val="2"/>
      <charset val="1"/>
    </font>
    <font>
      <b/>
      <i/>
      <sz val="11"/>
      <name val="Tahoma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Tahoma"/>
      <family val="2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rgb="FF000000"/>
      <name val="Verdana"/>
      <family val="2"/>
    </font>
    <font>
      <sz val="14"/>
      <color theme="1"/>
      <name val="Arial"/>
      <family val="2"/>
    </font>
    <font>
      <b/>
      <sz val="14"/>
      <name val="Calibri"/>
      <family val="2"/>
      <scheme val="minor"/>
    </font>
    <font>
      <b/>
      <i/>
      <sz val="12"/>
      <color rgb="FF7030A0"/>
      <name val="Tahoma"/>
      <family val="2"/>
    </font>
    <font>
      <b/>
      <sz val="12"/>
      <color theme="4" tint="-0.249977111117893"/>
      <name val="Tahoma"/>
      <family val="2"/>
    </font>
    <font>
      <b/>
      <i/>
      <sz val="12"/>
      <color theme="4" tint="-0.249977111117893"/>
      <name val="Tahoma"/>
      <family val="2"/>
    </font>
    <font>
      <sz val="12"/>
      <color theme="1"/>
      <name val="Tahoma"/>
      <family val="2"/>
    </font>
    <font>
      <sz val="11"/>
      <color theme="1"/>
      <name val="Tahoma"/>
      <family val="2"/>
    </font>
    <font>
      <sz val="12"/>
      <color theme="1"/>
      <name val="Arial"/>
      <family val="2"/>
      <charset val="1"/>
    </font>
    <font>
      <b/>
      <sz val="12"/>
      <name val="Calibri"/>
      <family val="2"/>
      <scheme val="minor"/>
    </font>
    <font>
      <b/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44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41"/>
      </patternFill>
    </fill>
    <fill>
      <patternFill patternType="solid">
        <fgColor indexed="24"/>
        <bgColor indexed="46"/>
      </patternFill>
    </fill>
    <fill>
      <patternFill patternType="solid">
        <fgColor indexed="15"/>
        <bgColor indexed="35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3"/>
      </patternFill>
    </fill>
    <fill>
      <patternFill patternType="solid">
        <fgColor theme="0"/>
        <bgColor indexed="41"/>
      </patternFill>
    </fill>
    <fill>
      <patternFill patternType="solid">
        <fgColor indexed="13"/>
        <bgColor indexed="34"/>
      </patternFill>
    </fill>
    <fill>
      <patternFill patternType="solid">
        <fgColor indexed="31"/>
        <bgColor indexed="27"/>
      </patternFill>
    </fill>
    <fill>
      <patternFill patternType="solid">
        <fgColor indexed="42"/>
        <bgColor indexed="41"/>
      </patternFill>
    </fill>
    <fill>
      <patternFill patternType="solid">
        <fgColor indexed="27"/>
        <bgColor indexed="31"/>
      </patternFill>
    </fill>
    <fill>
      <patternFill patternType="solid">
        <fgColor indexed="50"/>
        <bgColor indexed="13"/>
      </patternFill>
    </fill>
    <fill>
      <patternFill patternType="solid">
        <fgColor indexed="49"/>
        <bgColor indexed="55"/>
      </patternFill>
    </fill>
    <fill>
      <patternFill patternType="solid">
        <fgColor theme="0"/>
        <b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41"/>
      </patternFill>
    </fill>
    <fill>
      <patternFill patternType="solid">
        <fgColor theme="7" tint="0.79998168889431442"/>
        <bgColor indexed="41"/>
      </patternFill>
    </fill>
    <fill>
      <patternFill patternType="solid">
        <fgColor theme="5" tint="0.79998168889431442"/>
        <bgColor indexed="41"/>
      </patternFill>
    </fill>
    <fill>
      <patternFill patternType="solid">
        <fgColor theme="9" tint="0.79998168889431442"/>
        <bgColor indexed="41"/>
      </patternFill>
    </fill>
    <fill>
      <patternFill patternType="solid">
        <fgColor theme="0"/>
        <bgColor indexed="27"/>
      </patternFill>
    </fill>
    <fill>
      <patternFill patternType="solid">
        <fgColor theme="4" tint="0.79998168889431442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</fills>
  <borders count="96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/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auto="1"/>
      </right>
      <top style="thin">
        <color indexed="5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indexed="59"/>
      </top>
      <bottom style="thin">
        <color indexed="63"/>
      </bottom>
      <diagonal/>
    </border>
    <border>
      <left/>
      <right style="thin">
        <color indexed="63"/>
      </right>
      <top style="hair">
        <color indexed="8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indexed="8"/>
      </left>
      <right style="thin">
        <color indexed="63"/>
      </right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8"/>
      </top>
      <bottom style="thin">
        <color indexed="63"/>
      </bottom>
      <diagonal/>
    </border>
    <border>
      <left style="thin">
        <color indexed="8"/>
      </left>
      <right style="thin">
        <color indexed="63"/>
      </right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/>
      <top style="thin">
        <color indexed="8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3"/>
      </right>
      <top style="thin">
        <color indexed="8"/>
      </top>
      <bottom style="thin">
        <color indexed="63"/>
      </bottom>
      <diagonal/>
    </border>
    <border>
      <left/>
      <right style="thin">
        <color indexed="63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/>
      <top style="thin">
        <color indexed="8"/>
      </top>
      <bottom style="thin">
        <color indexed="63"/>
      </bottom>
      <diagonal/>
    </border>
    <border>
      <left/>
      <right/>
      <top style="thin">
        <color indexed="8"/>
      </top>
      <bottom style="thin">
        <color indexed="63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4"/>
      </top>
      <bottom style="thin">
        <color indexed="62"/>
      </bottom>
      <diagonal/>
    </border>
    <border>
      <left/>
      <right style="thin">
        <color indexed="63"/>
      </right>
      <top style="thin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2"/>
      </left>
      <right style="thin">
        <color auto="1"/>
      </right>
      <top style="hair">
        <color indexed="8"/>
      </top>
      <bottom/>
      <diagonal/>
    </border>
    <border>
      <left style="thin">
        <color auto="1"/>
      </left>
      <right style="thin">
        <color auto="1"/>
      </right>
      <top style="hair">
        <color indexed="8"/>
      </top>
      <bottom/>
      <diagonal/>
    </border>
    <border>
      <left/>
      <right style="thin">
        <color indexed="63"/>
      </right>
      <top style="hair">
        <color indexed="8"/>
      </top>
      <bottom/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 style="thin">
        <color auto="1"/>
      </left>
      <right style="thin">
        <color auto="1"/>
      </right>
      <top style="thin">
        <color rgb="FF3C3C3C"/>
      </top>
      <bottom style="thin">
        <color auto="1"/>
      </bottom>
      <diagonal/>
    </border>
    <border>
      <left style="thin">
        <color indexed="59"/>
      </left>
      <right/>
      <top style="thin">
        <color indexed="64"/>
      </top>
      <bottom/>
      <diagonal/>
    </border>
    <border>
      <left style="thin">
        <color indexed="59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23" fillId="0" borderId="0" applyFont="0" applyFill="0" applyBorder="0" applyAlignment="0" applyProtection="0">
      <alignment vertical="center"/>
    </xf>
    <xf numFmtId="165" fontId="3" fillId="0" borderId="0" applyFill="0" applyBorder="0" applyAlignment="0" applyProtection="0"/>
    <xf numFmtId="166" fontId="3" fillId="0" borderId="0" applyFill="0" applyBorder="0" applyAlignment="0" applyProtection="0"/>
    <xf numFmtId="0" fontId="24" fillId="0" borderId="0"/>
    <xf numFmtId="0" fontId="33" fillId="0" borderId="0"/>
    <xf numFmtId="9" fontId="34" fillId="0" borderId="0" applyFont="0" applyFill="0" applyBorder="0" applyAlignment="0" applyProtection="0"/>
    <xf numFmtId="0" fontId="67" fillId="28" borderId="0" applyNumberFormat="0" applyBorder="0" applyAlignment="0" applyProtection="0"/>
  </cellStyleXfs>
  <cellXfs count="1139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9" fillId="2" borderId="0" xfId="0" applyFont="1" applyFill="1"/>
    <xf numFmtId="173" fontId="17" fillId="0" borderId="0" xfId="0" applyNumberFormat="1" applyFont="1" applyAlignment="1">
      <alignment vertical="center"/>
    </xf>
    <xf numFmtId="173" fontId="17" fillId="0" borderId="0" xfId="0" applyNumberFormat="1" applyFont="1" applyAlignment="1">
      <alignment horizontal="center" vertical="center"/>
    </xf>
    <xf numFmtId="3" fontId="16" fillId="2" borderId="9" xfId="0" applyNumberFormat="1" applyFont="1" applyFill="1" applyBorder="1" applyAlignment="1">
      <alignment horizontal="center" vertical="center"/>
    </xf>
    <xf numFmtId="170" fontId="16" fillId="2" borderId="9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5" borderId="0" xfId="0" applyFont="1" applyFill="1"/>
    <xf numFmtId="0" fontId="33" fillId="0" borderId="0" xfId="5"/>
    <xf numFmtId="171" fontId="16" fillId="13" borderId="37" xfId="0" applyNumberFormat="1" applyFont="1" applyFill="1" applyBorder="1" applyAlignment="1">
      <alignment horizontal="center" vertical="center"/>
    </xf>
    <xf numFmtId="10" fontId="16" fillId="13" borderId="37" xfId="0" applyNumberFormat="1" applyFont="1" applyFill="1" applyBorder="1" applyAlignment="1">
      <alignment horizontal="center" vertical="center"/>
    </xf>
    <xf numFmtId="10" fontId="16" fillId="13" borderId="37" xfId="6" applyNumberFormat="1" applyFont="1" applyFill="1" applyBorder="1" applyAlignment="1">
      <alignment horizontal="center" vertical="center"/>
    </xf>
    <xf numFmtId="176" fontId="14" fillId="11" borderId="37" xfId="0" applyNumberFormat="1" applyFont="1" applyFill="1" applyBorder="1" applyAlignment="1">
      <alignment horizontal="center" vertical="center"/>
    </xf>
    <xf numFmtId="170" fontId="5" fillId="11" borderId="37" xfId="0" applyNumberFormat="1" applyFont="1" applyFill="1" applyBorder="1" applyAlignment="1">
      <alignment horizontal="center" vertical="center"/>
    </xf>
    <xf numFmtId="176" fontId="14" fillId="22" borderId="21" xfId="0" applyNumberFormat="1" applyFont="1" applyFill="1" applyBorder="1" applyAlignment="1">
      <alignment horizontal="center" vertical="center"/>
    </xf>
    <xf numFmtId="176" fontId="14" fillId="22" borderId="23" xfId="0" applyNumberFormat="1" applyFont="1" applyFill="1" applyBorder="1" applyAlignment="1">
      <alignment horizontal="center" vertical="center"/>
    </xf>
    <xf numFmtId="17" fontId="14" fillId="22" borderId="23" xfId="0" applyNumberFormat="1" applyFont="1" applyFill="1" applyBorder="1" applyAlignment="1">
      <alignment horizontal="center" vertical="center"/>
    </xf>
    <xf numFmtId="181" fontId="36" fillId="6" borderId="14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181" fontId="36" fillId="6" borderId="58" xfId="0" applyNumberFormat="1" applyFont="1" applyFill="1" applyBorder="1" applyAlignment="1">
      <alignment horizontal="center"/>
    </xf>
    <xf numFmtId="181" fontId="36" fillId="0" borderId="0" xfId="0" applyNumberFormat="1" applyFont="1" applyAlignment="1">
      <alignment horizontal="center"/>
    </xf>
    <xf numFmtId="181" fontId="36" fillId="9" borderId="60" xfId="0" applyNumberFormat="1" applyFont="1" applyFill="1" applyBorder="1" applyAlignment="1">
      <alignment horizontal="center" vertical="center"/>
    </xf>
    <xf numFmtId="0" fontId="36" fillId="0" borderId="0" xfId="0" applyFont="1"/>
    <xf numFmtId="0" fontId="37" fillId="0" borderId="0" xfId="0" applyFont="1"/>
    <xf numFmtId="0" fontId="36" fillId="0" borderId="0" xfId="0" applyFont="1" applyAlignment="1">
      <alignment horizontal="center"/>
    </xf>
    <xf numFmtId="0" fontId="39" fillId="0" borderId="0" xfId="0" applyFont="1"/>
    <xf numFmtId="0" fontId="39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39" fillId="0" borderId="0" xfId="0" applyFont="1" applyAlignment="1">
      <alignment vertical="center"/>
    </xf>
    <xf numFmtId="173" fontId="36" fillId="0" borderId="0" xfId="0" applyNumberFormat="1" applyFont="1" applyAlignment="1">
      <alignment horizontal="center" vertical="center"/>
    </xf>
    <xf numFmtId="0" fontId="39" fillId="0" borderId="37" xfId="0" applyFont="1" applyBorder="1" applyAlignment="1">
      <alignment horizontal="center"/>
    </xf>
    <xf numFmtId="0" fontId="41" fillId="18" borderId="40" xfId="5" applyFont="1" applyFill="1" applyBorder="1" applyAlignment="1">
      <alignment vertical="center"/>
    </xf>
    <xf numFmtId="0" fontId="41" fillId="18" borderId="40" xfId="5" applyFont="1" applyFill="1" applyBorder="1" applyAlignment="1">
      <alignment vertical="center" wrapText="1"/>
    </xf>
    <xf numFmtId="0" fontId="39" fillId="0" borderId="0" xfId="5" applyFont="1"/>
    <xf numFmtId="0" fontId="42" fillId="19" borderId="40" xfId="5" applyFont="1" applyFill="1" applyBorder="1" applyAlignment="1">
      <alignment vertical="center"/>
    </xf>
    <xf numFmtId="0" fontId="42" fillId="19" borderId="40" xfId="5" applyFont="1" applyFill="1" applyBorder="1" applyAlignment="1">
      <alignment vertical="center" wrapText="1"/>
    </xf>
    <xf numFmtId="0" fontId="43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167" fontId="39" fillId="0" borderId="0" xfId="0" applyNumberFormat="1" applyFont="1" applyAlignment="1">
      <alignment horizontal="center" vertical="center"/>
    </xf>
    <xf numFmtId="168" fontId="39" fillId="0" borderId="0" xfId="0" applyNumberFormat="1" applyFont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0" fontId="39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167" fontId="39" fillId="0" borderId="2" xfId="0" applyNumberFormat="1" applyFont="1" applyBorder="1" applyAlignment="1">
      <alignment horizontal="center" vertical="center" wrapText="1"/>
    </xf>
    <xf numFmtId="168" fontId="39" fillId="0" borderId="2" xfId="0" applyNumberFormat="1" applyFont="1" applyBorder="1" applyAlignment="1">
      <alignment horizontal="center" vertical="center" wrapText="1"/>
    </xf>
    <xf numFmtId="49" fontId="36" fillId="0" borderId="2" xfId="0" applyNumberFormat="1" applyFont="1" applyBorder="1" applyAlignment="1">
      <alignment horizontal="left" vertical="center"/>
    </xf>
    <xf numFmtId="0" fontId="36" fillId="0" borderId="2" xfId="0" applyFont="1" applyBorder="1" applyAlignment="1">
      <alignment horizontal="center" vertical="center"/>
    </xf>
    <xf numFmtId="170" fontId="39" fillId="0" borderId="2" xfId="0" applyNumberFormat="1" applyFont="1" applyBorder="1" applyAlignment="1">
      <alignment horizontal="center" vertical="center"/>
    </xf>
    <xf numFmtId="171" fontId="39" fillId="0" borderId="2" xfId="0" applyNumberFormat="1" applyFont="1" applyBorder="1" applyAlignment="1">
      <alignment horizontal="center" vertical="center"/>
    </xf>
    <xf numFmtId="167" fontId="39" fillId="0" borderId="2" xfId="0" applyNumberFormat="1" applyFont="1" applyBorder="1" applyAlignment="1">
      <alignment horizontal="center" vertical="center"/>
    </xf>
    <xf numFmtId="167" fontId="39" fillId="0" borderId="2" xfId="0" applyNumberFormat="1" applyFont="1" applyBorder="1" applyAlignment="1">
      <alignment horizontal="right" vertical="center"/>
    </xf>
    <xf numFmtId="0" fontId="36" fillId="0" borderId="2" xfId="0" applyFont="1" applyBorder="1" applyAlignment="1">
      <alignment horizontal="left" vertical="center"/>
    </xf>
    <xf numFmtId="172" fontId="39" fillId="0" borderId="2" xfId="0" applyNumberFormat="1" applyFont="1" applyBorder="1" applyAlignment="1">
      <alignment horizontal="center" vertical="center"/>
    </xf>
    <xf numFmtId="167" fontId="39" fillId="0" borderId="4" xfId="0" applyNumberFormat="1" applyFont="1" applyBorder="1" applyAlignment="1">
      <alignment horizontal="center" vertical="center"/>
    </xf>
    <xf numFmtId="172" fontId="39" fillId="0" borderId="2" xfId="0" applyNumberFormat="1" applyFont="1" applyBorder="1" applyAlignment="1">
      <alignment horizontal="center" vertical="top"/>
    </xf>
    <xf numFmtId="3" fontId="36" fillId="0" borderId="2" xfId="0" applyNumberFormat="1" applyFont="1" applyBorder="1" applyAlignment="1">
      <alignment horizontal="left" vertical="center"/>
    </xf>
    <xf numFmtId="10" fontId="39" fillId="0" borderId="2" xfId="0" applyNumberFormat="1" applyFont="1" applyBorder="1" applyAlignment="1">
      <alignment horizontal="center" vertical="center"/>
    </xf>
    <xf numFmtId="0" fontId="36" fillId="20" borderId="30" xfId="0" applyFont="1" applyFill="1" applyBorder="1" applyAlignment="1">
      <alignment horizontal="center" vertical="center"/>
    </xf>
    <xf numFmtId="0" fontId="36" fillId="20" borderId="30" xfId="0" applyFont="1" applyFill="1" applyBorder="1" applyAlignment="1">
      <alignment horizontal="center" vertical="center" wrapText="1"/>
    </xf>
    <xf numFmtId="0" fontId="39" fillId="0" borderId="37" xfId="0" applyFont="1" applyBorder="1" applyAlignment="1">
      <alignment horizontal="center" vertical="center"/>
    </xf>
    <xf numFmtId="0" fontId="36" fillId="20" borderId="2" xfId="0" applyFont="1" applyFill="1" applyBorder="1" applyAlignment="1">
      <alignment horizontal="center" vertical="center"/>
    </xf>
    <xf numFmtId="173" fontId="36" fillId="0" borderId="0" xfId="0" applyNumberFormat="1" applyFont="1"/>
    <xf numFmtId="173" fontId="36" fillId="0" borderId="0" xfId="0" applyNumberFormat="1" applyFont="1" applyAlignment="1">
      <alignment horizontal="center"/>
    </xf>
    <xf numFmtId="173" fontId="36" fillId="0" borderId="0" xfId="0" applyNumberFormat="1" applyFont="1" applyAlignment="1">
      <alignment horizontal="left"/>
    </xf>
    <xf numFmtId="173" fontId="45" fillId="0" borderId="0" xfId="0" applyNumberFormat="1" applyFont="1" applyAlignment="1">
      <alignment horizontal="center" vertical="center"/>
    </xf>
    <xf numFmtId="173" fontId="36" fillId="0" borderId="0" xfId="0" applyNumberFormat="1" applyFont="1" applyAlignment="1">
      <alignment horizontal="left" vertical="center"/>
    </xf>
    <xf numFmtId="173" fontId="39" fillId="0" borderId="0" xfId="0" applyNumberFormat="1" applyFont="1"/>
    <xf numFmtId="173" fontId="36" fillId="0" borderId="0" xfId="0" applyNumberFormat="1" applyFont="1" applyAlignment="1">
      <alignment horizontal="right"/>
    </xf>
    <xf numFmtId="175" fontId="36" fillId="0" borderId="0" xfId="0" applyNumberFormat="1" applyFont="1"/>
    <xf numFmtId="175" fontId="40" fillId="0" borderId="0" xfId="0" applyNumberFormat="1" applyFont="1"/>
    <xf numFmtId="173" fontId="39" fillId="0" borderId="0" xfId="0" applyNumberFormat="1" applyFont="1" applyAlignment="1">
      <alignment horizontal="center"/>
    </xf>
    <xf numFmtId="0" fontId="46" fillId="0" borderId="0" xfId="0" applyFont="1" applyAlignment="1">
      <alignment horizontal="center" vertical="center"/>
    </xf>
    <xf numFmtId="173" fontId="47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3" fontId="39" fillId="0" borderId="0" xfId="0" applyNumberFormat="1" applyFont="1"/>
    <xf numFmtId="172" fontId="39" fillId="0" borderId="0" xfId="0" applyNumberFormat="1" applyFont="1" applyAlignment="1">
      <alignment horizontal="right"/>
    </xf>
    <xf numFmtId="178" fontId="39" fillId="0" borderId="0" xfId="0" applyNumberFormat="1" applyFont="1"/>
    <xf numFmtId="178" fontId="39" fillId="0" borderId="0" xfId="0" applyNumberFormat="1" applyFont="1" applyAlignment="1">
      <alignment horizontal="right"/>
    </xf>
    <xf numFmtId="175" fontId="39" fillId="0" borderId="0" xfId="0" applyNumberFormat="1" applyFont="1"/>
    <xf numFmtId="178" fontId="36" fillId="0" borderId="0" xfId="0" applyNumberFormat="1" applyFont="1" applyAlignment="1">
      <alignment horizontal="center" vertical="center"/>
    </xf>
    <xf numFmtId="178" fontId="36" fillId="0" borderId="0" xfId="0" applyNumberFormat="1" applyFont="1"/>
    <xf numFmtId="17" fontId="36" fillId="0" borderId="0" xfId="0" applyNumberFormat="1" applyFont="1" applyAlignment="1">
      <alignment horizontal="left"/>
    </xf>
    <xf numFmtId="17" fontId="36" fillId="0" borderId="0" xfId="0" applyNumberFormat="1" applyFont="1"/>
    <xf numFmtId="17" fontId="49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9" fontId="39" fillId="0" borderId="0" xfId="0" applyNumberFormat="1" applyFont="1"/>
    <xf numFmtId="0" fontId="39" fillId="0" borderId="0" xfId="0" applyFont="1" applyAlignment="1">
      <alignment horizontal="right"/>
    </xf>
    <xf numFmtId="175" fontId="39" fillId="0" borderId="0" xfId="0" applyNumberFormat="1" applyFont="1" applyAlignment="1">
      <alignment horizontal="right"/>
    </xf>
    <xf numFmtId="175" fontId="36" fillId="0" borderId="0" xfId="0" applyNumberFormat="1" applyFont="1" applyAlignment="1">
      <alignment horizontal="right"/>
    </xf>
    <xf numFmtId="175" fontId="40" fillId="0" borderId="0" xfId="0" applyNumberFormat="1" applyFont="1" applyAlignment="1">
      <alignment horizontal="right"/>
    </xf>
    <xf numFmtId="0" fontId="36" fillId="0" borderId="0" xfId="0" applyFont="1" applyAlignment="1">
      <alignment horizontal="right"/>
    </xf>
    <xf numFmtId="168" fontId="39" fillId="0" borderId="0" xfId="0" applyNumberFormat="1" applyFont="1" applyAlignment="1">
      <alignment horizontal="center"/>
    </xf>
    <xf numFmtId="0" fontId="51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3" fontId="36" fillId="0" borderId="0" xfId="0" applyNumberFormat="1" applyFont="1"/>
    <xf numFmtId="172" fontId="36" fillId="0" borderId="0" xfId="0" applyNumberFormat="1" applyFont="1" applyAlignment="1">
      <alignment horizontal="right"/>
    </xf>
    <xf numFmtId="178" fontId="36" fillId="0" borderId="0" xfId="0" applyNumberFormat="1" applyFont="1" applyAlignment="1">
      <alignment horizontal="right"/>
    </xf>
    <xf numFmtId="172" fontId="39" fillId="0" borderId="0" xfId="0" applyNumberFormat="1" applyFont="1" applyAlignment="1">
      <alignment horizontal="center"/>
    </xf>
    <xf numFmtId="0" fontId="39" fillId="2" borderId="0" xfId="0" applyFont="1" applyFill="1" applyAlignment="1">
      <alignment horizontal="center"/>
    </xf>
    <xf numFmtId="0" fontId="30" fillId="0" borderId="0" xfId="0" applyFont="1"/>
    <xf numFmtId="173" fontId="36" fillId="12" borderId="5" xfId="0" applyNumberFormat="1" applyFont="1" applyFill="1" applyBorder="1"/>
    <xf numFmtId="173" fontId="36" fillId="12" borderId="5" xfId="0" applyNumberFormat="1" applyFont="1" applyFill="1" applyBorder="1" applyAlignment="1">
      <alignment horizontal="center"/>
    </xf>
    <xf numFmtId="0" fontId="37" fillId="12" borderId="5" xfId="0" applyFont="1" applyFill="1" applyBorder="1" applyAlignment="1">
      <alignment horizontal="left"/>
    </xf>
    <xf numFmtId="0" fontId="37" fillId="12" borderId="5" xfId="0" applyFont="1" applyFill="1" applyBorder="1"/>
    <xf numFmtId="0" fontId="37" fillId="12" borderId="5" xfId="0" applyFont="1" applyFill="1" applyBorder="1" applyAlignment="1">
      <alignment horizontal="center"/>
    </xf>
    <xf numFmtId="0" fontId="37" fillId="12" borderId="5" xfId="0" applyFont="1" applyFill="1" applyBorder="1" applyAlignment="1">
      <alignment horizontal="center" vertical="center"/>
    </xf>
    <xf numFmtId="0" fontId="37" fillId="12" borderId="5" xfId="0" applyFont="1" applyFill="1" applyBorder="1" applyAlignment="1">
      <alignment horizontal="left" vertical="center"/>
    </xf>
    <xf numFmtId="3" fontId="37" fillId="12" borderId="5" xfId="0" applyNumberFormat="1" applyFont="1" applyFill="1" applyBorder="1"/>
    <xf numFmtId="9" fontId="39" fillId="12" borderId="5" xfId="0" applyNumberFormat="1" applyFont="1" applyFill="1" applyBorder="1"/>
    <xf numFmtId="3" fontId="37" fillId="12" borderId="5" xfId="0" applyNumberFormat="1" applyFont="1" applyFill="1" applyBorder="1" applyAlignment="1">
      <alignment horizontal="right"/>
    </xf>
    <xf numFmtId="172" fontId="37" fillId="12" borderId="5" xfId="0" applyNumberFormat="1" applyFont="1" applyFill="1" applyBorder="1"/>
    <xf numFmtId="172" fontId="37" fillId="12" borderId="5" xfId="0" applyNumberFormat="1" applyFont="1" applyFill="1" applyBorder="1" applyAlignment="1">
      <alignment horizontal="right"/>
    </xf>
    <xf numFmtId="180" fontId="37" fillId="12" borderId="5" xfId="0" applyNumberFormat="1" applyFont="1" applyFill="1" applyBorder="1"/>
    <xf numFmtId="175" fontId="36" fillId="12" borderId="5" xfId="0" applyNumberFormat="1" applyFont="1" applyFill="1" applyBorder="1" applyAlignment="1">
      <alignment horizontal="center"/>
    </xf>
    <xf numFmtId="175" fontId="40" fillId="12" borderId="5" xfId="0" applyNumberFormat="1" applyFont="1" applyFill="1" applyBorder="1" applyAlignment="1">
      <alignment horizontal="center"/>
    </xf>
    <xf numFmtId="180" fontId="37" fillId="12" borderId="5" xfId="0" applyNumberFormat="1" applyFont="1" applyFill="1" applyBorder="1" applyAlignment="1">
      <alignment horizontal="center" vertical="center"/>
    </xf>
    <xf numFmtId="0" fontId="30" fillId="12" borderId="5" xfId="0" applyFont="1" applyFill="1" applyBorder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/>
    </xf>
    <xf numFmtId="3" fontId="30" fillId="0" borderId="0" xfId="0" applyNumberFormat="1" applyFont="1"/>
    <xf numFmtId="172" fontId="30" fillId="0" borderId="0" xfId="0" applyNumberFormat="1" applyFont="1" applyAlignment="1">
      <alignment horizontal="right"/>
    </xf>
    <xf numFmtId="171" fontId="37" fillId="0" borderId="0" xfId="0" applyNumberFormat="1" applyFont="1"/>
    <xf numFmtId="171" fontId="37" fillId="0" borderId="0" xfId="0" applyNumberFormat="1" applyFont="1" applyAlignment="1">
      <alignment horizontal="right"/>
    </xf>
    <xf numFmtId="175" fontId="37" fillId="0" borderId="0" xfId="0" applyNumberFormat="1" applyFont="1"/>
    <xf numFmtId="171" fontId="37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right"/>
    </xf>
    <xf numFmtId="175" fontId="43" fillId="0" borderId="0" xfId="0" applyNumberFormat="1" applyFont="1"/>
    <xf numFmtId="175" fontId="54" fillId="0" borderId="0" xfId="0" applyNumberFormat="1" applyFont="1"/>
    <xf numFmtId="0" fontId="36" fillId="2" borderId="0" xfId="0" applyFont="1" applyFill="1" applyAlignment="1">
      <alignment horizontal="center"/>
    </xf>
    <xf numFmtId="0" fontId="39" fillId="2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left" vertical="center"/>
    </xf>
    <xf numFmtId="175" fontId="36" fillId="17" borderId="9" xfId="0" applyNumberFormat="1" applyFont="1" applyFill="1" applyBorder="1"/>
    <xf numFmtId="10" fontId="37" fillId="0" borderId="0" xfId="0" applyNumberFormat="1" applyFont="1"/>
    <xf numFmtId="10" fontId="40" fillId="0" borderId="0" xfId="0" applyNumberFormat="1" applyFont="1"/>
    <xf numFmtId="0" fontId="39" fillId="0" borderId="0" xfId="0" applyFont="1" applyAlignment="1">
      <alignment horizontal="left"/>
    </xf>
    <xf numFmtId="167" fontId="39" fillId="2" borderId="0" xfId="0" applyNumberFormat="1" applyFont="1" applyFill="1" applyAlignment="1">
      <alignment horizontal="center"/>
    </xf>
    <xf numFmtId="172" fontId="39" fillId="2" borderId="0" xfId="0" applyNumberFormat="1" applyFont="1" applyFill="1" applyAlignment="1">
      <alignment horizontal="center"/>
    </xf>
    <xf numFmtId="175" fontId="36" fillId="16" borderId="9" xfId="0" applyNumberFormat="1" applyFont="1" applyFill="1" applyBorder="1"/>
    <xf numFmtId="175" fontId="36" fillId="0" borderId="9" xfId="0" applyNumberFormat="1" applyFont="1" applyBorder="1"/>
    <xf numFmtId="175" fontId="36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/>
    </xf>
    <xf numFmtId="0" fontId="30" fillId="2" borderId="5" xfId="0" applyFont="1" applyFill="1" applyBorder="1" applyAlignment="1">
      <alignment horizontal="center" vertical="center"/>
    </xf>
    <xf numFmtId="17" fontId="36" fillId="18" borderId="0" xfId="0" applyNumberFormat="1" applyFont="1" applyFill="1" applyAlignment="1">
      <alignment horizontal="left"/>
    </xf>
    <xf numFmtId="0" fontId="9" fillId="10" borderId="0" xfId="0" applyFont="1" applyFill="1" applyAlignment="1">
      <alignment horizontal="center" vertical="center"/>
    </xf>
    <xf numFmtId="0" fontId="36" fillId="24" borderId="34" xfId="0" applyFont="1" applyFill="1" applyBorder="1" applyAlignment="1">
      <alignment horizontal="center" vertical="center"/>
    </xf>
    <xf numFmtId="0" fontId="36" fillId="24" borderId="35" xfId="0" applyFont="1" applyFill="1" applyBorder="1" applyAlignment="1">
      <alignment horizontal="center" vertical="center"/>
    </xf>
    <xf numFmtId="0" fontId="36" fillId="24" borderId="27" xfId="0" applyFont="1" applyFill="1" applyBorder="1" applyAlignment="1">
      <alignment horizontal="center" vertical="center"/>
    </xf>
    <xf numFmtId="175" fontId="36" fillId="24" borderId="0" xfId="0" applyNumberFormat="1" applyFont="1" applyFill="1" applyAlignment="1">
      <alignment horizontal="center" vertical="center"/>
    </xf>
    <xf numFmtId="0" fontId="30" fillId="12" borderId="37" xfId="0" applyFont="1" applyFill="1" applyBorder="1" applyAlignment="1">
      <alignment horizontal="center"/>
    </xf>
    <xf numFmtId="172" fontId="36" fillId="24" borderId="0" xfId="0" applyNumberFormat="1" applyFont="1" applyFill="1" applyAlignment="1">
      <alignment horizontal="center" vertical="center"/>
    </xf>
    <xf numFmtId="0" fontId="12" fillId="2" borderId="0" xfId="0" applyFont="1" applyFill="1"/>
    <xf numFmtId="0" fontId="37" fillId="25" borderId="5" xfId="0" applyFont="1" applyFill="1" applyBorder="1" applyAlignment="1">
      <alignment horizontal="left" vertical="center"/>
    </xf>
    <xf numFmtId="0" fontId="37" fillId="25" borderId="5" xfId="0" applyFont="1" applyFill="1" applyBorder="1" applyAlignment="1">
      <alignment horizontal="center" vertical="center"/>
    </xf>
    <xf numFmtId="180" fontId="37" fillId="25" borderId="5" xfId="0" applyNumberFormat="1" applyFont="1" applyFill="1" applyBorder="1" applyAlignment="1">
      <alignment horizontal="center" vertical="center"/>
    </xf>
    <xf numFmtId="172" fontId="36" fillId="24" borderId="37" xfId="0" applyNumberFormat="1" applyFont="1" applyFill="1" applyBorder="1" applyAlignment="1">
      <alignment horizontal="center" vertical="center"/>
    </xf>
    <xf numFmtId="181" fontId="36" fillId="6" borderId="14" xfId="0" applyNumberFormat="1" applyFont="1" applyFill="1" applyBorder="1" applyAlignment="1">
      <alignment horizontal="center"/>
    </xf>
    <xf numFmtId="0" fontId="39" fillId="0" borderId="3" xfId="0" applyFont="1" applyBorder="1" applyAlignment="1">
      <alignment horizontal="center" vertical="center"/>
    </xf>
    <xf numFmtId="0" fontId="39" fillId="0" borderId="2" xfId="0" applyFont="1" applyBorder="1" applyAlignment="1">
      <alignment horizontal="right" vertical="center"/>
    </xf>
    <xf numFmtId="0" fontId="39" fillId="2" borderId="0" xfId="0" applyFont="1" applyFill="1" applyAlignment="1">
      <alignment horizontal="left"/>
    </xf>
    <xf numFmtId="0" fontId="53" fillId="2" borderId="0" xfId="0" applyFont="1" applyFill="1" applyAlignment="1">
      <alignment horizontal="left"/>
    </xf>
    <xf numFmtId="0" fontId="36" fillId="0" borderId="73" xfId="0" applyFont="1" applyBorder="1" applyAlignment="1">
      <alignment horizontal="left" vertical="center"/>
    </xf>
    <xf numFmtId="0" fontId="39" fillId="0" borderId="37" xfId="0" applyFont="1" applyBorder="1" applyAlignment="1">
      <alignment wrapText="1"/>
    </xf>
    <xf numFmtId="0" fontId="39" fillId="0" borderId="37" xfId="0" applyFont="1" applyBorder="1" applyAlignment="1">
      <alignment horizontal="center" wrapText="1"/>
    </xf>
    <xf numFmtId="0" fontId="30" fillId="12" borderId="5" xfId="0" applyFont="1" applyFill="1" applyBorder="1"/>
    <xf numFmtId="3" fontId="30" fillId="12" borderId="37" xfId="0" applyNumberFormat="1" applyFont="1" applyFill="1" applyBorder="1" applyAlignment="1">
      <alignment horizontal="center"/>
    </xf>
    <xf numFmtId="175" fontId="39" fillId="0" borderId="9" xfId="0" applyNumberFormat="1" applyFont="1" applyBorder="1"/>
    <xf numFmtId="10" fontId="39" fillId="0" borderId="0" xfId="0" applyNumberFormat="1" applyFont="1"/>
    <xf numFmtId="17" fontId="36" fillId="2" borderId="0" xfId="0" applyNumberFormat="1" applyFont="1" applyFill="1" applyAlignment="1">
      <alignment horizontal="left"/>
    </xf>
    <xf numFmtId="173" fontId="36" fillId="25" borderId="0" xfId="0" applyNumberFormat="1" applyFont="1" applyFill="1"/>
    <xf numFmtId="173" fontId="36" fillId="25" borderId="0" xfId="0" applyNumberFormat="1" applyFont="1" applyFill="1" applyAlignment="1">
      <alignment horizontal="center"/>
    </xf>
    <xf numFmtId="0" fontId="30" fillId="25" borderId="0" xfId="0" applyFont="1" applyFill="1" applyAlignment="1">
      <alignment horizontal="center"/>
    </xf>
    <xf numFmtId="0" fontId="37" fillId="25" borderId="0" xfId="0" applyFont="1" applyFill="1" applyAlignment="1">
      <alignment horizontal="left"/>
    </xf>
    <xf numFmtId="0" fontId="30" fillId="25" borderId="0" xfId="0" applyFont="1" applyFill="1"/>
    <xf numFmtId="0" fontId="37" fillId="25" borderId="0" xfId="0" applyFont="1" applyFill="1" applyAlignment="1">
      <alignment horizontal="left" vertical="center"/>
    </xf>
    <xf numFmtId="0" fontId="37" fillId="25" borderId="0" xfId="0" applyFont="1" applyFill="1" applyAlignment="1">
      <alignment horizontal="center" vertical="center"/>
    </xf>
    <xf numFmtId="0" fontId="37" fillId="25" borderId="0" xfId="0" applyFont="1" applyFill="1" applyAlignment="1">
      <alignment horizontal="center"/>
    </xf>
    <xf numFmtId="3" fontId="37" fillId="25" borderId="0" xfId="0" applyNumberFormat="1" applyFont="1" applyFill="1"/>
    <xf numFmtId="9" fontId="39" fillId="25" borderId="0" xfId="0" applyNumberFormat="1" applyFont="1" applyFill="1"/>
    <xf numFmtId="3" fontId="37" fillId="25" borderId="0" xfId="0" applyNumberFormat="1" applyFont="1" applyFill="1" applyAlignment="1">
      <alignment horizontal="right"/>
    </xf>
    <xf numFmtId="172" fontId="37" fillId="25" borderId="0" xfId="0" applyNumberFormat="1" applyFont="1" applyFill="1"/>
    <xf numFmtId="172" fontId="37" fillId="25" borderId="0" xfId="0" applyNumberFormat="1" applyFont="1" applyFill="1" applyAlignment="1">
      <alignment horizontal="right"/>
    </xf>
    <xf numFmtId="0" fontId="37" fillId="25" borderId="0" xfId="0" applyFont="1" applyFill="1"/>
    <xf numFmtId="180" fontId="37" fillId="25" borderId="0" xfId="0" applyNumberFormat="1" applyFont="1" applyFill="1"/>
    <xf numFmtId="175" fontId="36" fillId="25" borderId="0" xfId="0" applyNumberFormat="1" applyFont="1" applyFill="1" applyAlignment="1">
      <alignment horizontal="center"/>
    </xf>
    <xf numFmtId="175" fontId="40" fillId="25" borderId="0" xfId="0" applyNumberFormat="1" applyFont="1" applyFill="1" applyAlignment="1">
      <alignment horizontal="center"/>
    </xf>
    <xf numFmtId="180" fontId="37" fillId="25" borderId="0" xfId="0" applyNumberFormat="1" applyFont="1" applyFill="1" applyAlignment="1">
      <alignment horizontal="center" vertical="center"/>
    </xf>
    <xf numFmtId="0" fontId="2" fillId="10" borderId="0" xfId="0" applyFont="1" applyFill="1"/>
    <xf numFmtId="0" fontId="12" fillId="10" borderId="0" xfId="0" applyFont="1" applyFill="1"/>
    <xf numFmtId="0" fontId="9" fillId="26" borderId="0" xfId="0" applyFont="1" applyFill="1" applyAlignment="1">
      <alignment horizontal="center" vertical="center"/>
    </xf>
    <xf numFmtId="172" fontId="36" fillId="26" borderId="0" xfId="0" applyNumberFormat="1" applyFont="1" applyFill="1" applyAlignment="1">
      <alignment horizontal="center" vertical="center"/>
    </xf>
    <xf numFmtId="0" fontId="36" fillId="26" borderId="27" xfId="0" applyFont="1" applyFill="1" applyBorder="1" applyAlignment="1">
      <alignment horizontal="center" vertical="center"/>
    </xf>
    <xf numFmtId="0" fontId="36" fillId="26" borderId="34" xfId="0" applyFont="1" applyFill="1" applyBorder="1" applyAlignment="1">
      <alignment horizontal="center" vertical="center"/>
    </xf>
    <xf numFmtId="175" fontId="36" fillId="26" borderId="0" xfId="0" applyNumberFormat="1" applyFont="1" applyFill="1" applyAlignment="1">
      <alignment horizontal="center" vertical="center"/>
    </xf>
    <xf numFmtId="0" fontId="9" fillId="23" borderId="0" xfId="0" applyFont="1" applyFill="1" applyAlignment="1">
      <alignment horizontal="center" vertical="center"/>
    </xf>
    <xf numFmtId="172" fontId="36" fillId="23" borderId="0" xfId="0" applyNumberFormat="1" applyFont="1" applyFill="1" applyAlignment="1">
      <alignment horizontal="center" vertical="center"/>
    </xf>
    <xf numFmtId="0" fontId="36" fillId="23" borderId="27" xfId="0" applyFont="1" applyFill="1" applyBorder="1" applyAlignment="1">
      <alignment horizontal="center" vertical="center"/>
    </xf>
    <xf numFmtId="0" fontId="36" fillId="23" borderId="34" xfId="0" applyFont="1" applyFill="1" applyBorder="1" applyAlignment="1">
      <alignment horizontal="center" vertical="center"/>
    </xf>
    <xf numFmtId="175" fontId="36" fillId="23" borderId="0" xfId="0" applyNumberFormat="1" applyFont="1" applyFill="1" applyAlignment="1">
      <alignment horizontal="center" vertical="center"/>
    </xf>
    <xf numFmtId="0" fontId="6" fillId="0" borderId="1" xfId="0" applyFont="1" applyBorder="1"/>
    <xf numFmtId="164" fontId="6" fillId="0" borderId="1" xfId="0" applyNumberFormat="1" applyFont="1" applyBorder="1"/>
    <xf numFmtId="174" fontId="6" fillId="0" borderId="1" xfId="0" applyNumberFormat="1" applyFont="1" applyBorder="1"/>
    <xf numFmtId="10" fontId="6" fillId="0" borderId="1" xfId="0" applyNumberFormat="1" applyFont="1" applyBorder="1"/>
    <xf numFmtId="181" fontId="36" fillId="8" borderId="75" xfId="0" applyNumberFormat="1" applyFont="1" applyFill="1" applyBorder="1" applyAlignment="1">
      <alignment horizontal="center"/>
    </xf>
    <xf numFmtId="181" fontId="36" fillId="8" borderId="76" xfId="0" applyNumberFormat="1" applyFont="1" applyFill="1" applyBorder="1" applyAlignment="1">
      <alignment horizontal="center" vertical="center"/>
    </xf>
    <xf numFmtId="181" fontId="36" fillId="7" borderId="49" xfId="0" applyNumberFormat="1" applyFont="1" applyFill="1" applyBorder="1" applyAlignment="1">
      <alignment horizontal="center"/>
    </xf>
    <xf numFmtId="181" fontId="36" fillId="7" borderId="53" xfId="0" applyNumberFormat="1" applyFont="1" applyFill="1" applyBorder="1" applyAlignment="1">
      <alignment horizontal="center" vertical="center"/>
    </xf>
    <xf numFmtId="181" fontId="36" fillId="7" borderId="42" xfId="0" applyNumberFormat="1" applyFont="1" applyFill="1" applyBorder="1" applyAlignment="1">
      <alignment horizontal="center"/>
    </xf>
    <xf numFmtId="0" fontId="60" fillId="0" borderId="0" xfId="0" applyFont="1"/>
    <xf numFmtId="0" fontId="57" fillId="0" borderId="0" xfId="0" applyFont="1"/>
    <xf numFmtId="0" fontId="57" fillId="0" borderId="0" xfId="0" applyFont="1" applyAlignment="1">
      <alignment horizontal="center"/>
    </xf>
    <xf numFmtId="181" fontId="57" fillId="0" borderId="0" xfId="0" applyNumberFormat="1" applyFont="1" applyAlignment="1">
      <alignment horizontal="center"/>
    </xf>
    <xf numFmtId="181" fontId="36" fillId="9" borderId="59" xfId="0" applyNumberFormat="1" applyFont="1" applyFill="1" applyBorder="1" applyAlignment="1">
      <alignment horizontal="center"/>
    </xf>
    <xf numFmtId="181" fontId="36" fillId="8" borderId="76" xfId="0" applyNumberFormat="1" applyFont="1" applyFill="1" applyBorder="1" applyAlignment="1">
      <alignment horizontal="center"/>
    </xf>
    <xf numFmtId="181" fontId="36" fillId="9" borderId="60" xfId="0" applyNumberFormat="1" applyFont="1" applyFill="1" applyBorder="1" applyAlignment="1">
      <alignment horizontal="center"/>
    </xf>
    <xf numFmtId="0" fontId="58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81" fontId="3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9" fillId="0" borderId="74" xfId="0" applyFont="1" applyBorder="1" applyAlignment="1">
      <alignment horizontal="center"/>
    </xf>
    <xf numFmtId="0" fontId="39" fillId="0" borderId="32" xfId="0" applyFont="1" applyBorder="1" applyAlignment="1">
      <alignment horizontal="center"/>
    </xf>
    <xf numFmtId="0" fontId="39" fillId="0" borderId="6" xfId="0" applyFont="1" applyBorder="1" applyAlignment="1">
      <alignment horizontal="left"/>
    </xf>
    <xf numFmtId="0" fontId="39" fillId="0" borderId="5" xfId="0" applyFont="1" applyBorder="1" applyAlignment="1">
      <alignment horizontal="center"/>
    </xf>
    <xf numFmtId="0" fontId="39" fillId="0" borderId="5" xfId="0" applyFont="1" applyBorder="1" applyAlignment="1">
      <alignment horizontal="center" vertical="center"/>
    </xf>
    <xf numFmtId="0" fontId="39" fillId="0" borderId="5" xfId="0" applyFont="1" applyBorder="1"/>
    <xf numFmtId="167" fontId="39" fillId="0" borderId="5" xfId="0" applyNumberFormat="1" applyFont="1" applyBorder="1" applyAlignment="1">
      <alignment horizontal="center"/>
    </xf>
    <xf numFmtId="168" fontId="39" fillId="0" borderId="5" xfId="0" applyNumberFormat="1" applyFont="1" applyBorder="1" applyAlignment="1">
      <alignment horizontal="center" vertical="center"/>
    </xf>
    <xf numFmtId="172" fontId="39" fillId="0" borderId="5" xfId="0" applyNumberFormat="1" applyFont="1" applyBorder="1" applyAlignment="1">
      <alignment horizontal="right"/>
    </xf>
    <xf numFmtId="175" fontId="39" fillId="0" borderId="5" xfId="0" applyNumberFormat="1" applyFont="1" applyBorder="1" applyAlignment="1">
      <alignment horizontal="center"/>
    </xf>
    <xf numFmtId="0" fontId="39" fillId="0" borderId="5" xfId="0" applyFont="1" applyBorder="1" applyAlignment="1">
      <alignment horizontal="center" wrapText="1"/>
    </xf>
    <xf numFmtId="0" fontId="59" fillId="0" borderId="0" xfId="0" applyFont="1"/>
    <xf numFmtId="14" fontId="39" fillId="0" borderId="5" xfId="0" applyNumberFormat="1" applyFont="1" applyBorder="1" applyAlignment="1">
      <alignment horizontal="center"/>
    </xf>
    <xf numFmtId="0" fontId="39" fillId="0" borderId="5" xfId="0" applyFont="1" applyBorder="1" applyAlignment="1">
      <alignment horizontal="left"/>
    </xf>
    <xf numFmtId="0" fontId="44" fillId="0" borderId="5" xfId="0" applyFont="1" applyBorder="1" applyAlignment="1">
      <alignment horizontal="center"/>
    </xf>
    <xf numFmtId="0" fontId="44" fillId="0" borderId="5" xfId="0" applyFont="1" applyBorder="1"/>
    <xf numFmtId="175" fontId="39" fillId="0" borderId="5" xfId="0" applyNumberFormat="1" applyFont="1" applyBorder="1" applyAlignment="1">
      <alignment horizontal="center" vertical="center"/>
    </xf>
    <xf numFmtId="0" fontId="39" fillId="0" borderId="5" xfId="0" applyFont="1" applyBorder="1" applyAlignment="1">
      <alignment horizontal="left" vertical="top"/>
    </xf>
    <xf numFmtId="172" fontId="39" fillId="0" borderId="5" xfId="0" applyNumberFormat="1" applyFont="1" applyBorder="1" applyAlignment="1">
      <alignment horizontal="center"/>
    </xf>
    <xf numFmtId="0" fontId="39" fillId="0" borderId="5" xfId="0" applyFont="1" applyBorder="1" applyAlignment="1">
      <alignment horizontal="left" vertical="center"/>
    </xf>
    <xf numFmtId="0" fontId="39" fillId="0" borderId="5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/>
    </xf>
    <xf numFmtId="3" fontId="39" fillId="0" borderId="5" xfId="0" applyNumberFormat="1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168" fontId="57" fillId="0" borderId="5" xfId="0" applyNumberFormat="1" applyFont="1" applyBorder="1" applyAlignment="1">
      <alignment horizontal="center" vertical="center"/>
    </xf>
    <xf numFmtId="0" fontId="57" fillId="0" borderId="5" xfId="0" applyFont="1" applyBorder="1" applyAlignment="1">
      <alignment horizontal="left" vertical="center"/>
    </xf>
    <xf numFmtId="175" fontId="57" fillId="0" borderId="5" xfId="0" applyNumberFormat="1" applyFont="1" applyBorder="1" applyAlignment="1">
      <alignment horizontal="center" vertical="center"/>
    </xf>
    <xf numFmtId="0" fontId="59" fillId="0" borderId="0" xfId="0" applyFont="1" applyAlignment="1">
      <alignment vertical="center"/>
    </xf>
    <xf numFmtId="0" fontId="39" fillId="0" borderId="0" xfId="0" applyFont="1" applyAlignment="1">
      <alignment horizontal="center" vertical="center" wrapText="1"/>
    </xf>
    <xf numFmtId="0" fontId="52" fillId="0" borderId="37" xfId="0" applyFont="1" applyBorder="1" applyAlignment="1">
      <alignment horizontal="center"/>
    </xf>
    <xf numFmtId="0" fontId="52" fillId="0" borderId="37" xfId="0" applyFont="1" applyBorder="1" applyAlignment="1">
      <alignment horizontal="center" wrapText="1"/>
    </xf>
    <xf numFmtId="0" fontId="52" fillId="0" borderId="37" xfId="0" applyFont="1" applyBorder="1" applyAlignment="1">
      <alignment wrapText="1"/>
    </xf>
    <xf numFmtId="0" fontId="39" fillId="2" borderId="5" xfId="0" applyFont="1" applyFill="1" applyBorder="1" applyAlignment="1">
      <alignment horizontal="center" wrapText="1"/>
    </xf>
    <xf numFmtId="0" fontId="52" fillId="0" borderId="0" xfId="0" applyFont="1" applyAlignment="1">
      <alignment horizontal="center" vertical="center" wrapText="1"/>
    </xf>
    <xf numFmtId="3" fontId="36" fillId="24" borderId="27" xfId="0" applyNumberFormat="1" applyFont="1" applyFill="1" applyBorder="1" applyAlignment="1">
      <alignment horizontal="center" vertical="center"/>
    </xf>
    <xf numFmtId="165" fontId="5" fillId="22" borderId="26" xfId="2" applyFont="1" applyFill="1" applyBorder="1" applyAlignment="1">
      <alignment vertical="center"/>
    </xf>
    <xf numFmtId="175" fontId="38" fillId="0" borderId="5" xfId="0" applyNumberFormat="1" applyFont="1" applyBorder="1" applyAlignment="1">
      <alignment horizontal="center"/>
    </xf>
    <xf numFmtId="175" fontId="38" fillId="0" borderId="5" xfId="0" applyNumberFormat="1" applyFont="1" applyBorder="1" applyAlignment="1">
      <alignment horizontal="center" vertical="center"/>
    </xf>
    <xf numFmtId="0" fontId="36" fillId="2" borderId="5" xfId="0" applyFont="1" applyFill="1" applyBorder="1" applyAlignment="1">
      <alignment horizontal="center" vertical="center"/>
    </xf>
    <xf numFmtId="0" fontId="39" fillId="2" borderId="5" xfId="0" applyFont="1" applyFill="1" applyBorder="1" applyAlignment="1">
      <alignment horizontal="center" vertical="center"/>
    </xf>
    <xf numFmtId="0" fontId="39" fillId="2" borderId="5" xfId="0" applyFont="1" applyFill="1" applyBorder="1" applyAlignment="1">
      <alignment horizontal="center"/>
    </xf>
    <xf numFmtId="0" fontId="39" fillId="2" borderId="5" xfId="0" applyFont="1" applyFill="1" applyBorder="1" applyAlignment="1">
      <alignment horizontal="left"/>
    </xf>
    <xf numFmtId="167" fontId="39" fillId="2" borderId="5" xfId="0" applyNumberFormat="1" applyFont="1" applyFill="1" applyBorder="1" applyAlignment="1">
      <alignment horizontal="center"/>
    </xf>
    <xf numFmtId="168" fontId="39" fillId="2" borderId="5" xfId="0" applyNumberFormat="1" applyFont="1" applyFill="1" applyBorder="1" applyAlignment="1">
      <alignment horizontal="center" vertical="center"/>
    </xf>
    <xf numFmtId="175" fontId="39" fillId="2" borderId="5" xfId="0" applyNumberFormat="1" applyFont="1" applyFill="1" applyBorder="1" applyAlignment="1">
      <alignment horizontal="center"/>
    </xf>
    <xf numFmtId="175" fontId="38" fillId="2" borderId="5" xfId="0" applyNumberFormat="1" applyFont="1" applyFill="1" applyBorder="1" applyAlignment="1">
      <alignment horizontal="center"/>
    </xf>
    <xf numFmtId="0" fontId="39" fillId="2" borderId="37" xfId="0" applyFont="1" applyFill="1" applyBorder="1" applyAlignment="1">
      <alignment horizontal="center" wrapText="1"/>
    </xf>
    <xf numFmtId="172" fontId="39" fillId="2" borderId="5" xfId="0" applyNumberFormat="1" applyFont="1" applyFill="1" applyBorder="1" applyAlignment="1">
      <alignment horizontal="right"/>
    </xf>
    <xf numFmtId="175" fontId="38" fillId="2" borderId="5" xfId="0" applyNumberFormat="1" applyFont="1" applyFill="1" applyBorder="1" applyAlignment="1">
      <alignment horizontal="center" vertical="center"/>
    </xf>
    <xf numFmtId="175" fontId="39" fillId="2" borderId="5" xfId="0" applyNumberFormat="1" applyFont="1" applyFill="1" applyBorder="1" applyAlignment="1">
      <alignment horizontal="center" vertical="center"/>
    </xf>
    <xf numFmtId="0" fontId="56" fillId="2" borderId="5" xfId="0" applyFont="1" applyFill="1" applyBorder="1" applyAlignment="1">
      <alignment horizontal="center" vertical="center"/>
    </xf>
    <xf numFmtId="175" fontId="38" fillId="2" borderId="37" xfId="0" applyNumberFormat="1" applyFont="1" applyFill="1" applyBorder="1" applyAlignment="1">
      <alignment horizontal="center" vertical="center"/>
    </xf>
    <xf numFmtId="175" fontId="39" fillId="2" borderId="37" xfId="0" applyNumberFormat="1" applyFont="1" applyFill="1" applyBorder="1" applyAlignment="1">
      <alignment horizontal="center" vertical="center"/>
    </xf>
    <xf numFmtId="0" fontId="39" fillId="2" borderId="37" xfId="0" applyFont="1" applyFill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9" fontId="36" fillId="12" borderId="5" xfId="0" applyNumberFormat="1" applyFont="1" applyFill="1" applyBorder="1"/>
    <xf numFmtId="165" fontId="36" fillId="12" borderId="5" xfId="2" applyFont="1" applyFill="1" applyBorder="1"/>
    <xf numFmtId="0" fontId="37" fillId="12" borderId="37" xfId="0" applyFont="1" applyFill="1" applyBorder="1" applyAlignment="1">
      <alignment horizontal="center"/>
    </xf>
    <xf numFmtId="182" fontId="39" fillId="2" borderId="5" xfId="0" applyNumberFormat="1" applyFont="1" applyFill="1" applyBorder="1" applyAlignment="1">
      <alignment horizontal="center" vertical="center"/>
    </xf>
    <xf numFmtId="0" fontId="39" fillId="2" borderId="5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vertical="center"/>
    </xf>
    <xf numFmtId="167" fontId="39" fillId="2" borderId="5" xfId="0" applyNumberFormat="1" applyFont="1" applyFill="1" applyBorder="1" applyAlignment="1">
      <alignment horizontal="center" vertical="center"/>
    </xf>
    <xf numFmtId="0" fontId="39" fillId="2" borderId="5" xfId="0" applyFont="1" applyFill="1" applyBorder="1" applyAlignment="1">
      <alignment horizontal="center" vertical="center" wrapText="1"/>
    </xf>
    <xf numFmtId="14" fontId="39" fillId="2" borderId="5" xfId="0" applyNumberFormat="1" applyFont="1" applyFill="1" applyBorder="1" applyAlignment="1">
      <alignment horizontal="center" vertical="center"/>
    </xf>
    <xf numFmtId="0" fontId="44" fillId="2" borderId="5" xfId="0" applyFont="1" applyFill="1" applyBorder="1" applyAlignment="1">
      <alignment horizontal="center" vertical="center"/>
    </xf>
    <xf numFmtId="167" fontId="39" fillId="0" borderId="5" xfId="0" applyNumberFormat="1" applyFont="1" applyBorder="1" applyAlignment="1">
      <alignment horizontal="center" vertical="center"/>
    </xf>
    <xf numFmtId="172" fontId="39" fillId="0" borderId="5" xfId="0" applyNumberFormat="1" applyFont="1" applyBorder="1" applyAlignment="1">
      <alignment horizontal="right" vertical="center"/>
    </xf>
    <xf numFmtId="178" fontId="39" fillId="0" borderId="0" xfId="0" applyNumberFormat="1" applyFont="1" applyAlignment="1">
      <alignment horizontal="center" vertical="center"/>
    </xf>
    <xf numFmtId="172" fontId="37" fillId="12" borderId="37" xfId="0" applyNumberFormat="1" applyFont="1" applyFill="1" applyBorder="1" applyAlignment="1">
      <alignment horizontal="center" vertical="center"/>
    </xf>
    <xf numFmtId="172" fontId="39" fillId="2" borderId="0" xfId="0" applyNumberFormat="1" applyFont="1" applyFill="1" applyAlignment="1">
      <alignment horizontal="center" vertical="center"/>
    </xf>
    <xf numFmtId="184" fontId="39" fillId="2" borderId="5" xfId="0" applyNumberFormat="1" applyFont="1" applyFill="1" applyBorder="1" applyAlignment="1">
      <alignment horizontal="center"/>
    </xf>
    <xf numFmtId="185" fontId="39" fillId="0" borderId="5" xfId="0" applyNumberFormat="1" applyFont="1" applyBorder="1" applyAlignment="1">
      <alignment horizontal="center"/>
    </xf>
    <xf numFmtId="0" fontId="46" fillId="0" borderId="5" xfId="0" applyFont="1" applyBorder="1" applyAlignment="1">
      <alignment horizontal="center" vertical="center"/>
    </xf>
    <xf numFmtId="0" fontId="46" fillId="2" borderId="5" xfId="0" applyFont="1" applyFill="1" applyBorder="1" applyAlignment="1">
      <alignment horizontal="center" vertical="center"/>
    </xf>
    <xf numFmtId="0" fontId="66" fillId="2" borderId="5" xfId="0" applyFont="1" applyFill="1" applyBorder="1" applyAlignment="1">
      <alignment vertical="center"/>
    </xf>
    <xf numFmtId="167" fontId="56" fillId="2" borderId="5" xfId="0" applyNumberFormat="1" applyFont="1" applyFill="1" applyBorder="1" applyAlignment="1">
      <alignment horizontal="center" vertical="center"/>
    </xf>
    <xf numFmtId="167" fontId="56" fillId="0" borderId="5" xfId="0" applyNumberFormat="1" applyFont="1" applyBorder="1" applyAlignment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10" fontId="16" fillId="0" borderId="0" xfId="6" applyNumberFormat="1" applyFont="1" applyFill="1" applyBorder="1" applyAlignment="1">
      <alignment horizontal="center" vertical="center"/>
    </xf>
    <xf numFmtId="0" fontId="39" fillId="2" borderId="78" xfId="0" applyFont="1" applyFill="1" applyBorder="1" applyAlignment="1">
      <alignment horizontal="center" vertical="center"/>
    </xf>
    <xf numFmtId="49" fontId="36" fillId="0" borderId="0" xfId="0" applyNumberFormat="1" applyFont="1" applyAlignment="1">
      <alignment horizontal="right"/>
    </xf>
    <xf numFmtId="49" fontId="39" fillId="0" borderId="0" xfId="0" applyNumberFormat="1" applyFont="1" applyAlignment="1">
      <alignment horizontal="right"/>
    </xf>
    <xf numFmtId="49" fontId="36" fillId="24" borderId="0" xfId="0" applyNumberFormat="1" applyFont="1" applyFill="1" applyAlignment="1">
      <alignment horizontal="center" vertical="center"/>
    </xf>
    <xf numFmtId="49" fontId="39" fillId="0" borderId="5" xfId="0" applyNumberFormat="1" applyFont="1" applyBorder="1" applyAlignment="1">
      <alignment horizontal="center"/>
    </xf>
    <xf numFmtId="49" fontId="39" fillId="0" borderId="5" xfId="0" applyNumberFormat="1" applyFont="1" applyBorder="1" applyAlignment="1">
      <alignment horizontal="right"/>
    </xf>
    <xf numFmtId="49" fontId="37" fillId="12" borderId="5" xfId="0" applyNumberFormat="1" applyFont="1" applyFill="1" applyBorder="1" applyAlignment="1">
      <alignment horizontal="right"/>
    </xf>
    <xf numFmtId="49" fontId="30" fillId="0" borderId="0" xfId="0" applyNumberFormat="1" applyFont="1" applyAlignment="1">
      <alignment horizontal="right"/>
    </xf>
    <xf numFmtId="49" fontId="39" fillId="0" borderId="0" xfId="0" applyNumberFormat="1" applyFont="1" applyAlignment="1">
      <alignment horizontal="center" vertical="center"/>
    </xf>
    <xf numFmtId="175" fontId="52" fillId="0" borderId="5" xfId="0" applyNumberFormat="1" applyFont="1" applyBorder="1" applyAlignment="1">
      <alignment horizontal="center" vertical="center"/>
    </xf>
    <xf numFmtId="0" fontId="39" fillId="2" borderId="78" xfId="0" applyFont="1" applyFill="1" applyBorder="1" applyAlignment="1">
      <alignment horizontal="left" vertical="center"/>
    </xf>
    <xf numFmtId="167" fontId="39" fillId="2" borderId="78" xfId="0" applyNumberFormat="1" applyFont="1" applyFill="1" applyBorder="1" applyAlignment="1">
      <alignment horizontal="center"/>
    </xf>
    <xf numFmtId="0" fontId="39" fillId="2" borderId="78" xfId="0" applyFont="1" applyFill="1" applyBorder="1" applyAlignment="1">
      <alignment horizontal="center" wrapText="1"/>
    </xf>
    <xf numFmtId="3" fontId="39" fillId="2" borderId="5" xfId="0" applyNumberFormat="1" applyFont="1" applyFill="1" applyBorder="1" applyAlignment="1">
      <alignment horizontal="center" vertical="center"/>
    </xf>
    <xf numFmtId="175" fontId="52" fillId="2" borderId="5" xfId="0" applyNumberFormat="1" applyFont="1" applyFill="1" applyBorder="1" applyAlignment="1">
      <alignment horizontal="center" vertical="center"/>
    </xf>
    <xf numFmtId="175" fontId="38" fillId="2" borderId="78" xfId="0" applyNumberFormat="1" applyFont="1" applyFill="1" applyBorder="1" applyAlignment="1">
      <alignment horizontal="center" vertical="center"/>
    </xf>
    <xf numFmtId="175" fontId="39" fillId="2" borderId="78" xfId="0" applyNumberFormat="1" applyFont="1" applyFill="1" applyBorder="1" applyAlignment="1">
      <alignment horizontal="center" vertical="center"/>
    </xf>
    <xf numFmtId="170" fontId="36" fillId="0" borderId="2" xfId="0" applyNumberFormat="1" applyFont="1" applyBorder="1" applyAlignment="1">
      <alignment horizontal="center" vertical="center"/>
    </xf>
    <xf numFmtId="167" fontId="39" fillId="0" borderId="78" xfId="0" applyNumberFormat="1" applyFont="1" applyBorder="1" applyAlignment="1">
      <alignment horizontal="center"/>
    </xf>
    <xf numFmtId="167" fontId="39" fillId="0" borderId="78" xfId="0" applyNumberFormat="1" applyFont="1" applyBorder="1" applyAlignment="1">
      <alignment horizontal="center" vertical="center"/>
    </xf>
    <xf numFmtId="167" fontId="56" fillId="0" borderId="78" xfId="0" applyNumberFormat="1" applyFont="1" applyBorder="1" applyAlignment="1">
      <alignment horizontal="center" vertical="center"/>
    </xf>
    <xf numFmtId="3" fontId="37" fillId="12" borderId="78" xfId="0" applyNumberFormat="1" applyFont="1" applyFill="1" applyBorder="1" applyAlignment="1">
      <alignment horizontal="right"/>
    </xf>
    <xf numFmtId="165" fontId="36" fillId="12" borderId="78" xfId="2" applyFont="1" applyFill="1" applyBorder="1"/>
    <xf numFmtId="187" fontId="39" fillId="2" borderId="5" xfId="0" applyNumberFormat="1" applyFont="1" applyFill="1" applyBorder="1" applyAlignment="1">
      <alignment horizontal="center"/>
    </xf>
    <xf numFmtId="0" fontId="39" fillId="0" borderId="78" xfId="0" applyFont="1" applyBorder="1" applyAlignment="1">
      <alignment horizontal="center" vertical="center"/>
    </xf>
    <xf numFmtId="0" fontId="36" fillId="2" borderId="37" xfId="0" applyFont="1" applyFill="1" applyBorder="1" applyAlignment="1">
      <alignment horizontal="center" vertical="center"/>
    </xf>
    <xf numFmtId="0" fontId="36" fillId="2" borderId="78" xfId="0" applyFont="1" applyFill="1" applyBorder="1" applyAlignment="1">
      <alignment horizontal="center" vertical="center"/>
    </xf>
    <xf numFmtId="168" fontId="57" fillId="2" borderId="5" xfId="0" applyNumberFormat="1" applyFont="1" applyFill="1" applyBorder="1" applyAlignment="1">
      <alignment horizontal="center" vertical="center"/>
    </xf>
    <xf numFmtId="167" fontId="36" fillId="2" borderId="78" xfId="0" applyNumberFormat="1" applyFont="1" applyFill="1" applyBorder="1" applyAlignment="1">
      <alignment horizontal="center" vertical="center"/>
    </xf>
    <xf numFmtId="167" fontId="39" fillId="2" borderId="78" xfId="0" applyNumberFormat="1" applyFont="1" applyFill="1" applyBorder="1" applyAlignment="1">
      <alignment horizontal="center" vertical="center"/>
    </xf>
    <xf numFmtId="172" fontId="39" fillId="2" borderId="5" xfId="0" applyNumberFormat="1" applyFont="1" applyFill="1" applyBorder="1" applyAlignment="1">
      <alignment horizontal="right" vertical="center"/>
    </xf>
    <xf numFmtId="0" fontId="14" fillId="13" borderId="13" xfId="0" applyFont="1" applyFill="1" applyBorder="1" applyAlignment="1">
      <alignment horizontal="center" vertical="center"/>
    </xf>
    <xf numFmtId="173" fontId="17" fillId="0" borderId="0" xfId="0" applyNumberFormat="1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17" fontId="36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173" fontId="36" fillId="0" borderId="0" xfId="0" applyNumberFormat="1" applyFont="1" applyAlignment="1">
      <alignment vertical="center"/>
    </xf>
    <xf numFmtId="173" fontId="39" fillId="0" borderId="0" xfId="0" applyNumberFormat="1" applyFont="1" applyAlignment="1">
      <alignment horizontal="center" vertical="center"/>
    </xf>
    <xf numFmtId="173" fontId="39" fillId="0" borderId="0" xfId="0" applyNumberFormat="1" applyFont="1" applyAlignment="1">
      <alignment vertical="center"/>
    </xf>
    <xf numFmtId="173" fontId="36" fillId="0" borderId="0" xfId="0" applyNumberFormat="1" applyFont="1" applyAlignment="1">
      <alignment horizontal="right" vertical="center"/>
    </xf>
    <xf numFmtId="0" fontId="36" fillId="0" borderId="0" xfId="0" applyFont="1" applyAlignment="1">
      <alignment vertical="center"/>
    </xf>
    <xf numFmtId="175" fontId="36" fillId="0" borderId="0" xfId="0" applyNumberFormat="1" applyFont="1" applyAlignment="1">
      <alignment vertical="center"/>
    </xf>
    <xf numFmtId="175" fontId="40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3" fontId="39" fillId="0" borderId="0" xfId="0" applyNumberFormat="1" applyFont="1" applyAlignment="1">
      <alignment vertical="center"/>
    </xf>
    <xf numFmtId="172" fontId="39" fillId="0" borderId="0" xfId="0" applyNumberFormat="1" applyFont="1" applyAlignment="1">
      <alignment horizontal="right" vertical="center"/>
    </xf>
    <xf numFmtId="178" fontId="39" fillId="0" borderId="0" xfId="0" applyNumberFormat="1" applyFont="1" applyAlignment="1">
      <alignment vertical="center"/>
    </xf>
    <xf numFmtId="178" fontId="39" fillId="0" borderId="0" xfId="0" applyNumberFormat="1" applyFont="1" applyAlignment="1">
      <alignment horizontal="right" vertical="center"/>
    </xf>
    <xf numFmtId="175" fontId="39" fillId="0" borderId="0" xfId="0" applyNumberFormat="1" applyFont="1" applyAlignment="1">
      <alignment vertical="center"/>
    </xf>
    <xf numFmtId="178" fontId="36" fillId="0" borderId="0" xfId="0" applyNumberFormat="1" applyFont="1" applyAlignment="1">
      <alignment vertical="center"/>
    </xf>
    <xf numFmtId="17" fontId="36" fillId="18" borderId="0" xfId="0" applyNumberFormat="1" applyFont="1" applyFill="1" applyAlignment="1">
      <alignment horizontal="left" vertical="center"/>
    </xf>
    <xf numFmtId="187" fontId="39" fillId="2" borderId="5" xfId="0" applyNumberFormat="1" applyFont="1" applyFill="1" applyBorder="1" applyAlignment="1">
      <alignment horizontal="center" vertical="center"/>
    </xf>
    <xf numFmtId="9" fontId="39" fillId="0" borderId="0" xfId="0" applyNumberFormat="1" applyFont="1" applyAlignment="1">
      <alignment vertical="center"/>
    </xf>
    <xf numFmtId="0" fontId="39" fillId="0" borderId="0" xfId="0" applyFont="1" applyAlignment="1">
      <alignment horizontal="right" vertical="center"/>
    </xf>
    <xf numFmtId="175" fontId="39" fillId="0" borderId="0" xfId="0" applyNumberFormat="1" applyFont="1" applyAlignment="1">
      <alignment horizontal="right" vertical="center"/>
    </xf>
    <xf numFmtId="175" fontId="36" fillId="0" borderId="0" xfId="0" applyNumberFormat="1" applyFont="1" applyAlignment="1">
      <alignment horizontal="right" vertical="center"/>
    </xf>
    <xf numFmtId="175" fontId="40" fillId="0" borderId="0" xfId="0" applyNumberFormat="1" applyFont="1" applyAlignment="1">
      <alignment horizontal="right" vertical="center"/>
    </xf>
    <xf numFmtId="0" fontId="36" fillId="0" borderId="0" xfId="0" applyFont="1" applyAlignment="1">
      <alignment horizontal="right" vertical="center"/>
    </xf>
    <xf numFmtId="172" fontId="39" fillId="0" borderId="0" xfId="0" applyNumberFormat="1" applyFont="1" applyAlignment="1">
      <alignment horizontal="center" vertical="center"/>
    </xf>
    <xf numFmtId="3" fontId="36" fillId="0" borderId="0" xfId="0" applyNumberFormat="1" applyFont="1" applyAlignment="1">
      <alignment vertical="center"/>
    </xf>
    <xf numFmtId="172" fontId="36" fillId="0" borderId="0" xfId="0" applyNumberFormat="1" applyFont="1" applyAlignment="1">
      <alignment horizontal="right" vertical="center"/>
    </xf>
    <xf numFmtId="178" fontId="36" fillId="0" borderId="0" xfId="0" applyNumberFormat="1" applyFont="1" applyAlignment="1">
      <alignment horizontal="right" vertical="center"/>
    </xf>
    <xf numFmtId="0" fontId="39" fillId="2" borderId="37" xfId="0" applyFont="1" applyFill="1" applyBorder="1" applyAlignment="1">
      <alignment horizontal="center" vertical="center" wrapText="1"/>
    </xf>
    <xf numFmtId="172" fontId="39" fillId="2" borderId="78" xfId="0" applyNumberFormat="1" applyFont="1" applyFill="1" applyBorder="1" applyAlignment="1">
      <alignment horizontal="right" vertical="center"/>
    </xf>
    <xf numFmtId="0" fontId="39" fillId="2" borderId="78" xfId="0" applyFont="1" applyFill="1" applyBorder="1" applyAlignment="1">
      <alignment horizontal="center" vertical="center" wrapText="1"/>
    </xf>
    <xf numFmtId="187" fontId="39" fillId="2" borderId="78" xfId="0" applyNumberFormat="1" applyFont="1" applyFill="1" applyBorder="1" applyAlignment="1">
      <alignment horizontal="center" vertical="center"/>
    </xf>
    <xf numFmtId="0" fontId="39" fillId="2" borderId="78" xfId="0" applyFont="1" applyFill="1" applyBorder="1" applyAlignment="1">
      <alignment vertical="center"/>
    </xf>
    <xf numFmtId="0" fontId="39" fillId="2" borderId="0" xfId="0" applyFont="1" applyFill="1" applyAlignment="1">
      <alignment vertical="center"/>
    </xf>
    <xf numFmtId="0" fontId="39" fillId="2" borderId="37" xfId="0" applyFont="1" applyFill="1" applyBorder="1" applyAlignment="1">
      <alignment horizontal="left" vertical="center"/>
    </xf>
    <xf numFmtId="167" fontId="39" fillId="2" borderId="37" xfId="0" applyNumberFormat="1" applyFont="1" applyFill="1" applyBorder="1" applyAlignment="1">
      <alignment horizontal="center" vertical="center"/>
    </xf>
    <xf numFmtId="172" fontId="39" fillId="2" borderId="37" xfId="0" applyNumberFormat="1" applyFont="1" applyFill="1" applyBorder="1" applyAlignment="1">
      <alignment horizontal="right" vertical="center"/>
    </xf>
    <xf numFmtId="0" fontId="44" fillId="2" borderId="78" xfId="0" applyFont="1" applyFill="1" applyBorder="1" applyAlignment="1">
      <alignment vertical="center"/>
    </xf>
    <xf numFmtId="173" fontId="36" fillId="12" borderId="5" xfId="0" applyNumberFormat="1" applyFont="1" applyFill="1" applyBorder="1" applyAlignment="1">
      <alignment vertical="center"/>
    </xf>
    <xf numFmtId="173" fontId="36" fillId="12" borderId="5" xfId="0" applyNumberFormat="1" applyFont="1" applyFill="1" applyBorder="1" applyAlignment="1">
      <alignment horizontal="center" vertical="center"/>
    </xf>
    <xf numFmtId="0" fontId="30" fillId="12" borderId="5" xfId="0" applyFont="1" applyFill="1" applyBorder="1" applyAlignment="1">
      <alignment horizontal="center" vertical="center"/>
    </xf>
    <xf numFmtId="0" fontId="30" fillId="12" borderId="5" xfId="0" applyFont="1" applyFill="1" applyBorder="1" applyAlignment="1">
      <alignment vertical="center"/>
    </xf>
    <xf numFmtId="3" fontId="37" fillId="12" borderId="5" xfId="0" applyNumberFormat="1" applyFont="1" applyFill="1" applyBorder="1" applyAlignment="1">
      <alignment vertical="center"/>
    </xf>
    <xf numFmtId="9" fontId="39" fillId="12" borderId="5" xfId="0" applyNumberFormat="1" applyFont="1" applyFill="1" applyBorder="1" applyAlignment="1">
      <alignment vertical="center"/>
    </xf>
    <xf numFmtId="3" fontId="37" fillId="12" borderId="5" xfId="0" applyNumberFormat="1" applyFont="1" applyFill="1" applyBorder="1" applyAlignment="1">
      <alignment horizontal="right" vertical="center"/>
    </xf>
    <xf numFmtId="0" fontId="30" fillId="12" borderId="37" xfId="0" applyFont="1" applyFill="1" applyBorder="1" applyAlignment="1">
      <alignment horizontal="center" vertical="center"/>
    </xf>
    <xf numFmtId="172" fontId="37" fillId="12" borderId="5" xfId="0" applyNumberFormat="1" applyFont="1" applyFill="1" applyBorder="1" applyAlignment="1">
      <alignment vertical="center"/>
    </xf>
    <xf numFmtId="172" fontId="37" fillId="12" borderId="5" xfId="0" applyNumberFormat="1" applyFont="1" applyFill="1" applyBorder="1" applyAlignment="1">
      <alignment horizontal="right" vertical="center"/>
    </xf>
    <xf numFmtId="0" fontId="37" fillId="12" borderId="5" xfId="0" applyFont="1" applyFill="1" applyBorder="1" applyAlignment="1">
      <alignment vertical="center"/>
    </xf>
    <xf numFmtId="180" fontId="37" fillId="12" borderId="5" xfId="0" applyNumberFormat="1" applyFont="1" applyFill="1" applyBorder="1" applyAlignment="1">
      <alignment vertical="center"/>
    </xf>
    <xf numFmtId="175" fontId="36" fillId="12" borderId="5" xfId="0" applyNumberFormat="1" applyFont="1" applyFill="1" applyBorder="1" applyAlignment="1">
      <alignment horizontal="center" vertical="center"/>
    </xf>
    <xf numFmtId="175" fontId="37" fillId="12" borderId="5" xfId="0" applyNumberFormat="1" applyFont="1" applyFill="1" applyBorder="1" applyAlignment="1">
      <alignment horizontal="center" vertical="center"/>
    </xf>
    <xf numFmtId="175" fontId="40" fillId="12" borderId="5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3" fontId="30" fillId="0" borderId="0" xfId="0" applyNumberFormat="1" applyFont="1" applyAlignment="1">
      <alignment vertical="center"/>
    </xf>
    <xf numFmtId="172" fontId="30" fillId="0" borderId="0" xfId="0" applyNumberFormat="1" applyFont="1" applyAlignment="1">
      <alignment horizontal="right" vertical="center"/>
    </xf>
    <xf numFmtId="171" fontId="37" fillId="0" borderId="0" xfId="0" applyNumberFormat="1" applyFont="1" applyAlignment="1">
      <alignment vertical="center"/>
    </xf>
    <xf numFmtId="171" fontId="37" fillId="0" borderId="0" xfId="0" applyNumberFormat="1" applyFont="1" applyAlignment="1">
      <alignment horizontal="right" vertical="center"/>
    </xf>
    <xf numFmtId="0" fontId="3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0" fillId="0" borderId="0" xfId="0" applyFont="1" applyAlignment="1">
      <alignment horizontal="right" vertical="center"/>
    </xf>
    <xf numFmtId="175" fontId="36" fillId="16" borderId="9" xfId="0" applyNumberFormat="1" applyFont="1" applyFill="1" applyBorder="1" applyAlignment="1">
      <alignment vertical="center"/>
    </xf>
    <xf numFmtId="175" fontId="36" fillId="0" borderId="9" xfId="0" applyNumberFormat="1" applyFont="1" applyBorder="1" applyAlignment="1">
      <alignment vertical="center"/>
    </xf>
    <xf numFmtId="175" fontId="36" fillId="0" borderId="37" xfId="0" applyNumberFormat="1" applyFont="1" applyBorder="1" applyAlignment="1">
      <alignment vertical="center"/>
    </xf>
    <xf numFmtId="175" fontId="37" fillId="0" borderId="37" xfId="0" applyNumberFormat="1" applyFont="1" applyBorder="1" applyAlignment="1">
      <alignment horizontal="right" vertical="center"/>
    </xf>
    <xf numFmtId="10" fontId="40" fillId="0" borderId="37" xfId="0" applyNumberFormat="1" applyFont="1" applyBorder="1" applyAlignment="1">
      <alignment horizontal="right" vertical="center"/>
    </xf>
    <xf numFmtId="175" fontId="38" fillId="0" borderId="37" xfId="0" applyNumberFormat="1" applyFont="1" applyBorder="1" applyAlignment="1">
      <alignment vertical="center"/>
    </xf>
    <xf numFmtId="0" fontId="36" fillId="2" borderId="0" xfId="0" applyFont="1" applyFill="1" applyAlignment="1">
      <alignment horizontal="center" vertical="center"/>
    </xf>
    <xf numFmtId="167" fontId="39" fillId="2" borderId="0" xfId="0" applyNumberFormat="1" applyFont="1" applyFill="1" applyAlignment="1">
      <alignment horizontal="center" vertical="center"/>
    </xf>
    <xf numFmtId="10" fontId="38" fillId="0" borderId="37" xfId="0" applyNumberFormat="1" applyFont="1" applyBorder="1" applyAlignment="1">
      <alignment horizontal="right" vertical="center"/>
    </xf>
    <xf numFmtId="0" fontId="38" fillId="2" borderId="0" xfId="0" applyFont="1" applyFill="1" applyAlignment="1">
      <alignment horizontal="center" vertical="center"/>
    </xf>
    <xf numFmtId="0" fontId="55" fillId="2" borderId="0" xfId="0" applyFont="1" applyFill="1" applyAlignment="1">
      <alignment horizontal="left" vertical="center"/>
    </xf>
    <xf numFmtId="175" fontId="39" fillId="27" borderId="37" xfId="0" applyNumberFormat="1" applyFont="1" applyFill="1" applyBorder="1" applyAlignment="1">
      <alignment vertical="center"/>
    </xf>
    <xf numFmtId="175" fontId="36" fillId="27" borderId="37" xfId="0" applyNumberFormat="1" applyFont="1" applyFill="1" applyBorder="1" applyAlignment="1">
      <alignment vertical="center"/>
    </xf>
    <xf numFmtId="49" fontId="36" fillId="0" borderId="0" xfId="0" applyNumberFormat="1" applyFont="1" applyAlignment="1">
      <alignment horizontal="right" vertical="center"/>
    </xf>
    <xf numFmtId="49" fontId="39" fillId="0" borderId="0" xfId="0" applyNumberFormat="1" applyFont="1" applyAlignment="1">
      <alignment horizontal="right" vertical="center"/>
    </xf>
    <xf numFmtId="17" fontId="36" fillId="0" borderId="0" xfId="0" applyNumberFormat="1" applyFont="1" applyAlignment="1">
      <alignment vertical="center"/>
    </xf>
    <xf numFmtId="49" fontId="39" fillId="2" borderId="5" xfId="0" applyNumberFormat="1" applyFont="1" applyFill="1" applyBorder="1" applyAlignment="1">
      <alignment horizontal="center" vertical="center"/>
    </xf>
    <xf numFmtId="49" fontId="39" fillId="2" borderId="37" xfId="0" applyNumberFormat="1" applyFont="1" applyFill="1" applyBorder="1" applyAlignment="1">
      <alignment horizontal="center" vertical="center"/>
    </xf>
    <xf numFmtId="16" fontId="39" fillId="2" borderId="5" xfId="0" applyNumberFormat="1" applyFont="1" applyFill="1" applyBorder="1" applyAlignment="1">
      <alignment horizontal="center" vertical="center"/>
    </xf>
    <xf numFmtId="49" fontId="39" fillId="2" borderId="78" xfId="0" applyNumberFormat="1" applyFont="1" applyFill="1" applyBorder="1" applyAlignment="1">
      <alignment horizontal="center" vertical="center"/>
    </xf>
    <xf numFmtId="187" fontId="39" fillId="2" borderId="37" xfId="0" applyNumberFormat="1" applyFont="1" applyFill="1" applyBorder="1" applyAlignment="1">
      <alignment horizontal="center" vertical="center"/>
    </xf>
    <xf numFmtId="0" fontId="39" fillId="0" borderId="37" xfId="0" applyFont="1" applyBorder="1" applyAlignment="1">
      <alignment horizontal="left" vertical="center"/>
    </xf>
    <xf numFmtId="0" fontId="44" fillId="0" borderId="37" xfId="0" applyFont="1" applyBorder="1" applyAlignment="1">
      <alignment horizontal="center" vertical="center"/>
    </xf>
    <xf numFmtId="0" fontId="44" fillId="0" borderId="37" xfId="0" applyFont="1" applyBorder="1" applyAlignment="1">
      <alignment vertical="center"/>
    </xf>
    <xf numFmtId="167" fontId="39" fillId="0" borderId="37" xfId="0" applyNumberFormat="1" applyFont="1" applyBorder="1" applyAlignment="1">
      <alignment horizontal="center" vertical="center"/>
    </xf>
    <xf numFmtId="49" fontId="37" fillId="12" borderId="5" xfId="0" applyNumberFormat="1" applyFont="1" applyFill="1" applyBorder="1" applyAlignment="1">
      <alignment horizontal="right" vertical="center"/>
    </xf>
    <xf numFmtId="0" fontId="18" fillId="5" borderId="0" xfId="0" applyFont="1" applyFill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4" fillId="5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76" fontId="5" fillId="0" borderId="0" xfId="0" applyNumberFormat="1" applyFont="1" applyAlignment="1">
      <alignment vertical="center"/>
    </xf>
    <xf numFmtId="170" fontId="14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16" fillId="5" borderId="0" xfId="0" applyFont="1" applyFill="1" applyAlignment="1">
      <alignment horizontal="center" vertical="center"/>
    </xf>
    <xf numFmtId="2" fontId="16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3" fillId="11" borderId="37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181" fontId="57" fillId="0" borderId="0" xfId="0" applyNumberFormat="1" applyFont="1" applyAlignment="1">
      <alignment horizontal="center" vertical="center"/>
    </xf>
    <xf numFmtId="171" fontId="16" fillId="12" borderId="37" xfId="0" applyNumberFormat="1" applyFont="1" applyFill="1" applyBorder="1" applyAlignment="1">
      <alignment horizontal="center" vertical="center"/>
    </xf>
    <xf numFmtId="171" fontId="16" fillId="0" borderId="37" xfId="0" applyNumberFormat="1" applyFont="1" applyBorder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6" fillId="0" borderId="37" xfId="0" applyNumberFormat="1" applyFont="1" applyBorder="1" applyAlignment="1">
      <alignment horizontal="center" vertical="center"/>
    </xf>
    <xf numFmtId="176" fontId="16" fillId="12" borderId="37" xfId="0" applyNumberFormat="1" applyFont="1" applyFill="1" applyBorder="1" applyAlignment="1">
      <alignment horizontal="center" vertical="center"/>
    </xf>
    <xf numFmtId="171" fontId="19" fillId="5" borderId="0" xfId="0" applyNumberFormat="1" applyFont="1" applyFill="1" applyAlignment="1">
      <alignment horizontal="center" vertical="center"/>
    </xf>
    <xf numFmtId="176" fontId="16" fillId="0" borderId="0" xfId="0" applyNumberFormat="1" applyFont="1" applyAlignment="1">
      <alignment vertical="center"/>
    </xf>
    <xf numFmtId="171" fontId="19" fillId="0" borderId="0" xfId="0" applyNumberFormat="1" applyFont="1" applyAlignment="1">
      <alignment horizontal="center" vertical="center"/>
    </xf>
    <xf numFmtId="171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76" fontId="19" fillId="0" borderId="0" xfId="0" applyNumberFormat="1" applyFont="1" applyAlignment="1">
      <alignment vertical="center"/>
    </xf>
    <xf numFmtId="9" fontId="19" fillId="0" borderId="0" xfId="0" applyNumberFormat="1" applyFont="1" applyAlignment="1">
      <alignment vertical="center"/>
    </xf>
    <xf numFmtId="177" fontId="16" fillId="0" borderId="0" xfId="1" applyNumberFormat="1" applyFont="1" applyAlignment="1">
      <alignment vertical="center"/>
    </xf>
    <xf numFmtId="176" fontId="32" fillId="0" borderId="37" xfId="0" applyNumberFormat="1" applyFont="1" applyBorder="1" applyAlignment="1">
      <alignment vertical="center"/>
    </xf>
    <xf numFmtId="10" fontId="32" fillId="0" borderId="37" xfId="0" applyNumberFormat="1" applyFont="1" applyBorder="1" applyAlignment="1">
      <alignment horizontal="center" vertical="center"/>
    </xf>
    <xf numFmtId="171" fontId="16" fillId="0" borderId="0" xfId="0" applyNumberFormat="1" applyFont="1" applyAlignment="1">
      <alignment horizontal="center" vertical="center"/>
    </xf>
    <xf numFmtId="171" fontId="16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3" fontId="14" fillId="13" borderId="51" xfId="0" applyNumberFormat="1" applyFont="1" applyFill="1" applyBorder="1" applyAlignment="1">
      <alignment horizontal="center" vertical="center"/>
    </xf>
    <xf numFmtId="3" fontId="14" fillId="23" borderId="51" xfId="0" applyNumberFormat="1" applyFont="1" applyFill="1" applyBorder="1" applyAlignment="1">
      <alignment horizontal="center" vertical="center"/>
    </xf>
    <xf numFmtId="0" fontId="14" fillId="13" borderId="15" xfId="0" applyFont="1" applyFill="1" applyBorder="1" applyAlignment="1">
      <alignment horizontal="center" vertical="center"/>
    </xf>
    <xf numFmtId="167" fontId="14" fillId="13" borderId="15" xfId="0" applyNumberFormat="1" applyFont="1" applyFill="1" applyBorder="1" applyAlignment="1">
      <alignment horizontal="center" vertical="center"/>
    </xf>
    <xf numFmtId="176" fontId="14" fillId="13" borderId="1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172" fontId="16" fillId="2" borderId="9" xfId="0" applyNumberFormat="1" applyFont="1" applyFill="1" applyBorder="1" applyAlignment="1">
      <alignment vertical="center"/>
    </xf>
    <xf numFmtId="2" fontId="16" fillId="2" borderId="9" xfId="0" applyNumberFormat="1" applyFont="1" applyFill="1" applyBorder="1" applyAlignment="1">
      <alignment vertical="center"/>
    </xf>
    <xf numFmtId="3" fontId="16" fillId="2" borderId="9" xfId="0" applyNumberFormat="1" applyFont="1" applyFill="1" applyBorder="1" applyAlignment="1">
      <alignment vertical="center"/>
    </xf>
    <xf numFmtId="3" fontId="16" fillId="2" borderId="8" xfId="0" applyNumberFormat="1" applyFont="1" applyFill="1" applyBorder="1" applyAlignment="1">
      <alignment horizontal="center" vertical="center"/>
    </xf>
    <xf numFmtId="3" fontId="16" fillId="2" borderId="43" xfId="0" applyNumberFormat="1" applyFont="1" applyFill="1" applyBorder="1" applyAlignment="1">
      <alignment vertical="center"/>
    </xf>
    <xf numFmtId="172" fontId="16" fillId="2" borderId="44" xfId="0" applyNumberFormat="1" applyFont="1" applyFill="1" applyBorder="1" applyAlignment="1">
      <alignment vertical="center"/>
    </xf>
    <xf numFmtId="172" fontId="16" fillId="2" borderId="43" xfId="0" applyNumberFormat="1" applyFont="1" applyFill="1" applyBorder="1" applyAlignment="1">
      <alignment vertical="center"/>
    </xf>
    <xf numFmtId="3" fontId="16" fillId="2" borderId="43" xfId="0" applyNumberFormat="1" applyFont="1" applyFill="1" applyBorder="1" applyAlignment="1">
      <alignment horizontal="center" vertical="center"/>
    </xf>
    <xf numFmtId="172" fontId="22" fillId="2" borderId="9" xfId="0" applyNumberFormat="1" applyFont="1" applyFill="1" applyBorder="1" applyAlignment="1">
      <alignment vertical="center"/>
    </xf>
    <xf numFmtId="170" fontId="16" fillId="5" borderId="9" xfId="0" applyNumberFormat="1" applyFont="1" applyFill="1" applyBorder="1" applyAlignment="1">
      <alignment vertical="center"/>
    </xf>
    <xf numFmtId="0" fontId="9" fillId="5" borderId="0" xfId="0" applyFont="1" applyFill="1" applyAlignment="1">
      <alignment vertical="center"/>
    </xf>
    <xf numFmtId="172" fontId="16" fillId="2" borderId="9" xfId="0" applyNumberFormat="1" applyFont="1" applyFill="1" applyBorder="1" applyAlignment="1">
      <alignment horizontal="left" vertical="center"/>
    </xf>
    <xf numFmtId="170" fontId="16" fillId="2" borderId="9" xfId="0" applyNumberFormat="1" applyFont="1" applyFill="1" applyBorder="1" applyAlignment="1">
      <alignment vertical="center"/>
    </xf>
    <xf numFmtId="170" fontId="16" fillId="10" borderId="9" xfId="0" applyNumberFormat="1" applyFont="1" applyFill="1" applyBorder="1" applyAlignment="1">
      <alignment vertical="center"/>
    </xf>
    <xf numFmtId="0" fontId="9" fillId="10" borderId="0" xfId="0" applyFont="1" applyFill="1" applyAlignment="1">
      <alignment vertical="center"/>
    </xf>
    <xf numFmtId="172" fontId="16" fillId="2" borderId="8" xfId="0" applyNumberFormat="1" applyFont="1" applyFill="1" applyBorder="1" applyAlignment="1">
      <alignment vertical="center"/>
    </xf>
    <xf numFmtId="3" fontId="16" fillId="10" borderId="9" xfId="0" applyNumberFormat="1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176" fontId="14" fillId="0" borderId="25" xfId="0" applyNumberFormat="1" applyFont="1" applyBorder="1" applyAlignment="1">
      <alignment horizontal="center" vertical="center"/>
    </xf>
    <xf numFmtId="170" fontId="14" fillId="0" borderId="25" xfId="0" applyNumberFormat="1" applyFont="1" applyBorder="1" applyAlignment="1">
      <alignment horizontal="center" vertical="center"/>
    </xf>
    <xf numFmtId="170" fontId="14" fillId="5" borderId="25" xfId="0" applyNumberFormat="1" applyFont="1" applyFill="1" applyBorder="1" applyAlignment="1">
      <alignment horizontal="center" vertical="center"/>
    </xf>
    <xf numFmtId="172" fontId="14" fillId="0" borderId="25" xfId="0" applyNumberFormat="1" applyFont="1" applyBorder="1" applyAlignment="1">
      <alignment horizontal="center" vertical="center"/>
    </xf>
    <xf numFmtId="172" fontId="14" fillId="0" borderId="27" xfId="0" applyNumberFormat="1" applyFont="1" applyBorder="1" applyAlignment="1">
      <alignment horizontal="center" vertical="center"/>
    </xf>
    <xf numFmtId="170" fontId="16" fillId="0" borderId="0" xfId="0" applyNumberFormat="1" applyFont="1" applyAlignment="1">
      <alignment horizontal="center" vertical="center"/>
    </xf>
    <xf numFmtId="0" fontId="14" fillId="12" borderId="9" xfId="0" applyFont="1" applyFill="1" applyBorder="1" applyAlignment="1">
      <alignment vertical="center"/>
    </xf>
    <xf numFmtId="3" fontId="16" fillId="0" borderId="9" xfId="0" applyNumberFormat="1" applyFont="1" applyBorder="1" applyAlignment="1">
      <alignment vertical="center"/>
    </xf>
    <xf numFmtId="172" fontId="16" fillId="0" borderId="9" xfId="0" applyNumberFormat="1" applyFont="1" applyBorder="1" applyAlignment="1">
      <alignment vertical="center"/>
    </xf>
    <xf numFmtId="172" fontId="16" fillId="0" borderId="29" xfId="0" applyNumberFormat="1" applyFont="1" applyBorder="1" applyAlignment="1">
      <alignment vertical="center"/>
    </xf>
    <xf numFmtId="0" fontId="62" fillId="0" borderId="0" xfId="0" applyFont="1" applyAlignment="1">
      <alignment vertical="center"/>
    </xf>
    <xf numFmtId="167" fontId="6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16" fillId="0" borderId="9" xfId="0" applyNumberFormat="1" applyFont="1" applyBorder="1" applyAlignment="1">
      <alignment vertical="center"/>
    </xf>
    <xf numFmtId="0" fontId="16" fillId="12" borderId="9" xfId="0" applyFont="1" applyFill="1" applyBorder="1" applyAlignment="1">
      <alignment vertical="center"/>
    </xf>
    <xf numFmtId="171" fontId="16" fillId="0" borderId="8" xfId="0" applyNumberFormat="1" applyFont="1" applyBorder="1" applyAlignment="1">
      <alignment vertical="center"/>
    </xf>
    <xf numFmtId="171" fontId="16" fillId="0" borderId="9" xfId="0" applyNumberFormat="1" applyFont="1" applyBorder="1" applyAlignment="1">
      <alignment vertical="center"/>
    </xf>
    <xf numFmtId="9" fontId="16" fillId="0" borderId="9" xfId="6" applyFont="1" applyBorder="1" applyAlignment="1">
      <alignment vertical="center"/>
    </xf>
    <xf numFmtId="179" fontId="16" fillId="0" borderId="0" xfId="0" applyNumberFormat="1" applyFont="1" applyAlignment="1">
      <alignment vertical="center"/>
    </xf>
    <xf numFmtId="10" fontId="16" fillId="0" borderId="8" xfId="0" applyNumberFormat="1" applyFont="1" applyBorder="1" applyAlignment="1">
      <alignment vertical="center"/>
    </xf>
    <xf numFmtId="175" fontId="5" fillId="0" borderId="31" xfId="0" applyNumberFormat="1" applyFont="1" applyBorder="1" applyAlignment="1">
      <alignment vertical="center"/>
    </xf>
    <xf numFmtId="0" fontId="14" fillId="0" borderId="0" xfId="0" applyFont="1" applyAlignment="1">
      <alignment horizontal="right" vertical="center"/>
    </xf>
    <xf numFmtId="4" fontId="20" fillId="0" borderId="0" xfId="0" applyNumberFormat="1" applyFont="1" applyAlignment="1">
      <alignment vertical="center"/>
    </xf>
    <xf numFmtId="168" fontId="16" fillId="0" borderId="0" xfId="0" applyNumberFormat="1" applyFont="1" applyAlignment="1">
      <alignment vertical="center"/>
    </xf>
    <xf numFmtId="0" fontId="5" fillId="11" borderId="37" xfId="0" applyFont="1" applyFill="1" applyBorder="1" applyAlignment="1">
      <alignment horizontal="center" vertical="center"/>
    </xf>
    <xf numFmtId="0" fontId="14" fillId="18" borderId="37" xfId="0" applyFont="1" applyFill="1" applyBorder="1" applyAlignment="1">
      <alignment vertical="center"/>
    </xf>
    <xf numFmtId="0" fontId="14" fillId="11" borderId="9" xfId="0" applyFont="1" applyFill="1" applyBorder="1" applyAlignment="1">
      <alignment vertical="center"/>
    </xf>
    <xf numFmtId="0" fontId="5" fillId="21" borderId="37" xfId="0" applyFont="1" applyFill="1" applyBorder="1" applyAlignment="1">
      <alignment horizontal="center" vertical="center"/>
    </xf>
    <xf numFmtId="0" fontId="16" fillId="0" borderId="37" xfId="0" applyFont="1" applyBorder="1" applyAlignment="1">
      <alignment vertical="center"/>
    </xf>
    <xf numFmtId="3" fontId="16" fillId="0" borderId="37" xfId="0" applyNumberFormat="1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3" fontId="16" fillId="0" borderId="18" xfId="0" applyNumberFormat="1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167" fontId="9" fillId="0" borderId="0" xfId="0" applyNumberFormat="1" applyFont="1" applyAlignment="1">
      <alignment vertical="center"/>
    </xf>
    <xf numFmtId="0" fontId="16" fillId="12" borderId="43" xfId="0" applyFont="1" applyFill="1" applyBorder="1" applyAlignment="1">
      <alignment vertical="center"/>
    </xf>
    <xf numFmtId="3" fontId="16" fillId="0" borderId="43" xfId="0" applyNumberFormat="1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9" fontId="16" fillId="14" borderId="9" xfId="0" applyNumberFormat="1" applyFont="1" applyFill="1" applyBorder="1" applyAlignment="1">
      <alignment horizontal="center" vertical="center"/>
    </xf>
    <xf numFmtId="9" fontId="16" fillId="14" borderId="24" xfId="0" applyNumberFormat="1" applyFont="1" applyFill="1" applyBorder="1" applyAlignment="1">
      <alignment horizontal="center" vertical="center"/>
    </xf>
    <xf numFmtId="9" fontId="16" fillId="14" borderId="37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11" borderId="20" xfId="0" applyFont="1" applyFill="1" applyBorder="1" applyAlignment="1">
      <alignment vertical="center"/>
    </xf>
    <xf numFmtId="49" fontId="16" fillId="14" borderId="9" xfId="6" applyNumberFormat="1" applyFont="1" applyFill="1" applyBorder="1" applyAlignment="1">
      <alignment horizontal="center" vertical="center"/>
    </xf>
    <xf numFmtId="1" fontId="16" fillId="0" borderId="0" xfId="0" applyNumberFormat="1" applyFont="1" applyAlignment="1">
      <alignment vertical="center"/>
    </xf>
    <xf numFmtId="3" fontId="16" fillId="0" borderId="24" xfId="0" applyNumberFormat="1" applyFont="1" applyBorder="1" applyAlignment="1">
      <alignment vertical="center"/>
    </xf>
    <xf numFmtId="3" fontId="32" fillId="0" borderId="9" xfId="0" applyNumberFormat="1" applyFont="1" applyBorder="1" applyAlignment="1">
      <alignment vertical="center"/>
    </xf>
    <xf numFmtId="3" fontId="32" fillId="0" borderId="9" xfId="0" applyNumberFormat="1" applyFont="1" applyBorder="1" applyAlignment="1">
      <alignment horizontal="center" vertical="center"/>
    </xf>
    <xf numFmtId="3" fontId="16" fillId="0" borderId="0" xfId="0" applyNumberFormat="1" applyFont="1" applyAlignment="1">
      <alignment vertical="center"/>
    </xf>
    <xf numFmtId="0" fontId="14" fillId="0" borderId="24" xfId="0" applyFont="1" applyBorder="1" applyAlignment="1">
      <alignment vertical="center"/>
    </xf>
    <xf numFmtId="174" fontId="14" fillId="15" borderId="37" xfId="0" applyNumberFormat="1" applyFont="1" applyFill="1" applyBorder="1" applyAlignment="1">
      <alignment vertical="center"/>
    </xf>
    <xf numFmtId="174" fontId="5" fillId="15" borderId="9" xfId="0" applyNumberFormat="1" applyFont="1" applyFill="1" applyBorder="1" applyAlignment="1">
      <alignment vertical="center"/>
    </xf>
    <xf numFmtId="174" fontId="14" fillId="15" borderId="24" xfId="0" applyNumberFormat="1" applyFont="1" applyFill="1" applyBorder="1" applyAlignment="1">
      <alignment vertical="center"/>
    </xf>
    <xf numFmtId="174" fontId="14" fillId="15" borderId="9" xfId="0" applyNumberFormat="1" applyFont="1" applyFill="1" applyBorder="1" applyAlignment="1">
      <alignment vertical="center"/>
    </xf>
    <xf numFmtId="0" fontId="5" fillId="0" borderId="9" xfId="0" applyFont="1" applyBorder="1" applyAlignment="1">
      <alignment vertical="center"/>
    </xf>
    <xf numFmtId="3" fontId="32" fillId="15" borderId="8" xfId="0" applyNumberFormat="1" applyFont="1" applyFill="1" applyBorder="1" applyAlignment="1">
      <alignment vertical="center"/>
    </xf>
    <xf numFmtId="170" fontId="16" fillId="0" borderId="31" xfId="0" applyNumberFormat="1" applyFont="1" applyBorder="1" applyAlignment="1">
      <alignment vertical="center"/>
    </xf>
    <xf numFmtId="167" fontId="16" fillId="0" borderId="0" xfId="0" applyNumberFormat="1" applyFont="1" applyAlignment="1">
      <alignment vertical="center"/>
    </xf>
    <xf numFmtId="170" fontId="1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49" fontId="39" fillId="2" borderId="37" xfId="0" applyNumberFormat="1" applyFont="1" applyFill="1" applyBorder="1" applyAlignment="1">
      <alignment horizontal="center" vertical="center" wrapText="1"/>
    </xf>
    <xf numFmtId="49" fontId="39" fillId="0" borderId="5" xfId="0" applyNumberFormat="1" applyFont="1" applyBorder="1" applyAlignment="1">
      <alignment horizontal="center" vertical="center"/>
    </xf>
    <xf numFmtId="0" fontId="30" fillId="12" borderId="78" xfId="0" applyFont="1" applyFill="1" applyBorder="1" applyAlignment="1">
      <alignment horizontal="center"/>
    </xf>
    <xf numFmtId="0" fontId="36" fillId="2" borderId="5" xfId="0" applyFont="1" applyFill="1" applyBorder="1" applyAlignment="1">
      <alignment horizontal="left" vertical="center"/>
    </xf>
    <xf numFmtId="185" fontId="39" fillId="0" borderId="37" xfId="0" applyNumberFormat="1" applyFont="1" applyBorder="1" applyAlignment="1">
      <alignment horizontal="center"/>
    </xf>
    <xf numFmtId="0" fontId="39" fillId="0" borderId="37" xfId="0" applyFont="1" applyBorder="1" applyAlignment="1">
      <alignment horizontal="left"/>
    </xf>
    <xf numFmtId="0" fontId="44" fillId="0" borderId="37" xfId="0" applyFont="1" applyBorder="1" applyAlignment="1">
      <alignment horizontal="center"/>
    </xf>
    <xf numFmtId="0" fontId="44" fillId="0" borderId="37" xfId="0" applyFont="1" applyBorder="1"/>
    <xf numFmtId="167" fontId="39" fillId="0" borderId="37" xfId="0" applyNumberFormat="1" applyFont="1" applyBorder="1" applyAlignment="1">
      <alignment horizontal="center"/>
    </xf>
    <xf numFmtId="49" fontId="39" fillId="0" borderId="37" xfId="0" applyNumberFormat="1" applyFont="1" applyBorder="1" applyAlignment="1">
      <alignment horizontal="center"/>
    </xf>
    <xf numFmtId="172" fontId="39" fillId="0" borderId="37" xfId="0" applyNumberFormat="1" applyFont="1" applyBorder="1" applyAlignment="1">
      <alignment horizontal="right"/>
    </xf>
    <xf numFmtId="175" fontId="39" fillId="0" borderId="37" xfId="0" applyNumberFormat="1" applyFont="1" applyBorder="1" applyAlignment="1">
      <alignment horizontal="center"/>
    </xf>
    <xf numFmtId="175" fontId="38" fillId="0" borderId="37" xfId="0" applyNumberFormat="1" applyFont="1" applyBorder="1" applyAlignment="1">
      <alignment horizontal="center"/>
    </xf>
    <xf numFmtId="3" fontId="39" fillId="0" borderId="37" xfId="0" applyNumberFormat="1" applyFont="1" applyBorder="1" applyAlignment="1">
      <alignment horizontal="center" vertical="center"/>
    </xf>
    <xf numFmtId="0" fontId="39" fillId="0" borderId="78" xfId="0" applyFont="1" applyFill="1" applyBorder="1" applyAlignment="1">
      <alignment horizontal="center" vertical="center"/>
    </xf>
    <xf numFmtId="0" fontId="39" fillId="12" borderId="78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69" fillId="2" borderId="78" xfId="0" applyFont="1" applyFill="1" applyBorder="1" applyAlignment="1">
      <alignment vertical="center"/>
    </xf>
    <xf numFmtId="49" fontId="36" fillId="2" borderId="5" xfId="0" applyNumberFormat="1" applyFont="1" applyFill="1" applyBorder="1" applyAlignment="1">
      <alignment horizontal="center" vertical="center"/>
    </xf>
    <xf numFmtId="0" fontId="44" fillId="2" borderId="78" xfId="0" applyFont="1" applyFill="1" applyBorder="1" applyAlignment="1">
      <alignment horizontal="center" vertical="center"/>
    </xf>
    <xf numFmtId="49" fontId="39" fillId="2" borderId="78" xfId="0" applyNumberFormat="1" applyFont="1" applyFill="1" applyBorder="1" applyAlignment="1">
      <alignment horizontal="center" vertical="center" wrapText="1"/>
    </xf>
    <xf numFmtId="0" fontId="39" fillId="2" borderId="37" xfId="0" applyFont="1" applyFill="1" applyBorder="1" applyAlignment="1" applyProtection="1">
      <alignment horizontal="center" vertical="center"/>
      <protection locked="0"/>
    </xf>
    <xf numFmtId="175" fontId="38" fillId="2" borderId="37" xfId="0" applyNumberFormat="1" applyFont="1" applyFill="1" applyBorder="1" applyAlignment="1">
      <alignment horizontal="center"/>
    </xf>
    <xf numFmtId="175" fontId="39" fillId="2" borderId="37" xfId="0" applyNumberFormat="1" applyFont="1" applyFill="1" applyBorder="1" applyAlignment="1">
      <alignment horizontal="center"/>
    </xf>
    <xf numFmtId="3" fontId="39" fillId="2" borderId="37" xfId="0" applyNumberFormat="1" applyFont="1" applyFill="1" applyBorder="1" applyAlignment="1">
      <alignment horizontal="center" vertical="center"/>
    </xf>
    <xf numFmtId="0" fontId="57" fillId="2" borderId="5" xfId="0" applyFont="1" applyFill="1" applyBorder="1" applyAlignment="1">
      <alignment horizontal="center" vertical="center"/>
    </xf>
    <xf numFmtId="0" fontId="44" fillId="2" borderId="5" xfId="0" applyFont="1" applyFill="1" applyBorder="1"/>
    <xf numFmtId="173" fontId="36" fillId="2" borderId="78" xfId="0" applyNumberFormat="1" applyFont="1" applyFill="1" applyBorder="1"/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17" fontId="36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57" fillId="0" borderId="5" xfId="0" applyFont="1" applyBorder="1" applyAlignment="1">
      <alignment horizontal="left" vertical="center" wrapText="1"/>
    </xf>
    <xf numFmtId="0" fontId="57" fillId="0" borderId="5" xfId="0" quotePrefix="1" applyFont="1" applyBorder="1" applyAlignment="1">
      <alignment horizontal="center" vertical="center"/>
    </xf>
    <xf numFmtId="167" fontId="57" fillId="0" borderId="5" xfId="0" applyNumberFormat="1" applyFont="1" applyBorder="1" applyAlignment="1">
      <alignment horizontal="center" vertical="center"/>
    </xf>
    <xf numFmtId="172" fontId="57" fillId="0" borderId="5" xfId="0" applyNumberFormat="1" applyFont="1" applyBorder="1" applyAlignment="1">
      <alignment horizontal="right" vertical="center"/>
    </xf>
    <xf numFmtId="0" fontId="57" fillId="2" borderId="37" xfId="0" applyFont="1" applyFill="1" applyBorder="1" applyAlignment="1">
      <alignment horizontal="center" vertical="center" wrapText="1"/>
    </xf>
    <xf numFmtId="14" fontId="57" fillId="0" borderId="5" xfId="0" applyNumberFormat="1" applyFont="1" applyBorder="1" applyAlignment="1">
      <alignment horizontal="center" vertical="center"/>
    </xf>
    <xf numFmtId="0" fontId="61" fillId="0" borderId="5" xfId="0" applyFont="1" applyBorder="1" applyAlignment="1">
      <alignment vertical="center"/>
    </xf>
    <xf numFmtId="175" fontId="57" fillId="2" borderId="5" xfId="0" applyNumberFormat="1" applyFont="1" applyFill="1" applyBorder="1" applyAlignment="1">
      <alignment horizontal="center" vertical="center"/>
    </xf>
    <xf numFmtId="0" fontId="61" fillId="0" borderId="5" xfId="0" applyFont="1" applyBorder="1" applyAlignment="1">
      <alignment horizontal="center" vertical="center"/>
    </xf>
    <xf numFmtId="0" fontId="68" fillId="0" borderId="37" xfId="0" applyFont="1" applyBorder="1" applyAlignment="1">
      <alignment horizontal="center" vertical="center" wrapText="1"/>
    </xf>
    <xf numFmtId="0" fontId="57" fillId="0" borderId="37" xfId="0" applyFont="1" applyBorder="1" applyAlignment="1">
      <alignment horizontal="center" vertical="center" wrapText="1"/>
    </xf>
    <xf numFmtId="172" fontId="57" fillId="0" borderId="5" xfId="0" applyNumberFormat="1" applyFont="1" applyBorder="1" applyAlignment="1">
      <alignment horizontal="center" vertical="center"/>
    </xf>
    <xf numFmtId="173" fontId="36" fillId="25" borderId="5" xfId="0" applyNumberFormat="1" applyFont="1" applyFill="1" applyBorder="1" applyAlignment="1">
      <alignment vertical="center"/>
    </xf>
    <xf numFmtId="173" fontId="36" fillId="25" borderId="5" xfId="0" applyNumberFormat="1" applyFont="1" applyFill="1" applyBorder="1" applyAlignment="1">
      <alignment horizontal="center" vertical="center"/>
    </xf>
    <xf numFmtId="0" fontId="30" fillId="25" borderId="5" xfId="0" applyFont="1" applyFill="1" applyBorder="1" applyAlignment="1">
      <alignment horizontal="center" vertical="center"/>
    </xf>
    <xf numFmtId="0" fontId="37" fillId="25" borderId="5" xfId="0" applyFont="1" applyFill="1" applyBorder="1" applyAlignment="1">
      <alignment vertical="center"/>
    </xf>
    <xf numFmtId="3" fontId="37" fillId="25" borderId="5" xfId="0" applyNumberFormat="1" applyFont="1" applyFill="1" applyBorder="1" applyAlignment="1">
      <alignment vertical="center"/>
    </xf>
    <xf numFmtId="9" fontId="39" fillId="25" borderId="5" xfId="0" applyNumberFormat="1" applyFont="1" applyFill="1" applyBorder="1" applyAlignment="1">
      <alignment vertical="center"/>
    </xf>
    <xf numFmtId="3" fontId="37" fillId="25" borderId="5" xfId="0" applyNumberFormat="1" applyFont="1" applyFill="1" applyBorder="1" applyAlignment="1">
      <alignment horizontal="right" vertical="center"/>
    </xf>
    <xf numFmtId="172" fontId="37" fillId="25" borderId="5" xfId="0" applyNumberFormat="1" applyFont="1" applyFill="1" applyBorder="1" applyAlignment="1">
      <alignment vertical="center"/>
    </xf>
    <xf numFmtId="172" fontId="37" fillId="25" borderId="5" xfId="0" applyNumberFormat="1" applyFont="1" applyFill="1" applyBorder="1" applyAlignment="1">
      <alignment horizontal="right" vertical="center"/>
    </xf>
    <xf numFmtId="180" fontId="37" fillId="25" borderId="5" xfId="0" applyNumberFormat="1" applyFont="1" applyFill="1" applyBorder="1" applyAlignment="1">
      <alignment vertical="center"/>
    </xf>
    <xf numFmtId="175" fontId="36" fillId="25" borderId="5" xfId="0" applyNumberFormat="1" applyFont="1" applyFill="1" applyBorder="1" applyAlignment="1">
      <alignment horizontal="center" vertical="center"/>
    </xf>
    <xf numFmtId="175" fontId="37" fillId="25" borderId="5" xfId="0" applyNumberFormat="1" applyFont="1" applyFill="1" applyBorder="1" applyAlignment="1">
      <alignment horizontal="center" vertical="center"/>
    </xf>
    <xf numFmtId="0" fontId="30" fillId="25" borderId="37" xfId="0" applyFont="1" applyFill="1" applyBorder="1" applyAlignment="1">
      <alignment horizontal="center" vertical="center"/>
    </xf>
    <xf numFmtId="175" fontId="37" fillId="0" borderId="0" xfId="0" applyNumberFormat="1" applyFont="1" applyAlignment="1">
      <alignment vertical="center"/>
    </xf>
    <xf numFmtId="175" fontId="37" fillId="0" borderId="0" xfId="0" applyNumberFormat="1" applyFont="1" applyAlignment="1">
      <alignment horizontal="right" vertical="center"/>
    </xf>
    <xf numFmtId="3" fontId="36" fillId="0" borderId="0" xfId="0" applyNumberFormat="1" applyFont="1" applyAlignment="1">
      <alignment horizontal="center" vertical="center"/>
    </xf>
    <xf numFmtId="168" fontId="39" fillId="0" borderId="0" xfId="0" applyNumberFormat="1" applyFont="1" applyAlignment="1">
      <alignment horizontal="left" vertical="center"/>
    </xf>
    <xf numFmtId="3" fontId="57" fillId="0" borderId="5" xfId="0" applyNumberFormat="1" applyFont="1" applyBorder="1" applyAlignment="1">
      <alignment horizontal="center" vertical="center"/>
    </xf>
    <xf numFmtId="3" fontId="37" fillId="12" borderId="5" xfId="0" applyNumberFormat="1" applyFont="1" applyFill="1" applyBorder="1" applyAlignment="1">
      <alignment horizontal="center" vertical="center"/>
    </xf>
    <xf numFmtId="3" fontId="37" fillId="0" borderId="0" xfId="0" applyNumberFormat="1" applyFont="1" applyAlignment="1">
      <alignment vertical="center"/>
    </xf>
    <xf numFmtId="3" fontId="30" fillId="0" borderId="0" xfId="0" applyNumberFormat="1" applyFont="1" applyAlignment="1">
      <alignment horizontal="center" vertical="center"/>
    </xf>
    <xf numFmtId="175" fontId="43" fillId="0" borderId="0" xfId="0" applyNumberFormat="1" applyFont="1" applyAlignment="1">
      <alignment vertical="center"/>
    </xf>
    <xf numFmtId="175" fontId="54" fillId="0" borderId="0" xfId="0" applyNumberFormat="1" applyFont="1" applyAlignment="1">
      <alignment vertical="center"/>
    </xf>
    <xf numFmtId="175" fontId="36" fillId="17" borderId="9" xfId="0" applyNumberFormat="1" applyFont="1" applyFill="1" applyBorder="1" applyAlignment="1">
      <alignment vertical="center"/>
    </xf>
    <xf numFmtId="10" fontId="37" fillId="0" borderId="0" xfId="0" applyNumberFormat="1" applyFont="1" applyAlignment="1">
      <alignment vertical="center"/>
    </xf>
    <xf numFmtId="10" fontId="40" fillId="0" borderId="0" xfId="0" applyNumberFormat="1" applyFont="1" applyAlignment="1">
      <alignment vertical="center"/>
    </xf>
    <xf numFmtId="3" fontId="36" fillId="2" borderId="0" xfId="0" applyNumberFormat="1" applyFont="1" applyFill="1" applyAlignment="1">
      <alignment horizontal="center" vertical="center"/>
    </xf>
    <xf numFmtId="3" fontId="39" fillId="0" borderId="0" xfId="0" applyNumberFormat="1" applyFont="1" applyAlignment="1">
      <alignment horizontal="center" vertical="center"/>
    </xf>
    <xf numFmtId="3" fontId="39" fillId="2" borderId="0" xfId="0" applyNumberFormat="1" applyFont="1" applyFill="1" applyAlignment="1">
      <alignment horizontal="center" vertical="center"/>
    </xf>
    <xf numFmtId="0" fontId="53" fillId="2" borderId="0" xfId="0" applyFont="1" applyFill="1" applyAlignment="1">
      <alignment horizontal="left" vertical="center"/>
    </xf>
    <xf numFmtId="3" fontId="38" fillId="2" borderId="0" xfId="0" applyNumberFormat="1" applyFont="1" applyFill="1" applyAlignment="1">
      <alignment horizontal="center" vertical="center"/>
    </xf>
    <xf numFmtId="49" fontId="57" fillId="0" borderId="37" xfId="0" applyNumberFormat="1" applyFont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3" fontId="16" fillId="0" borderId="9" xfId="0" applyNumberFormat="1" applyFont="1" applyFill="1" applyBorder="1" applyAlignment="1">
      <alignment horizontal="center" vertical="center"/>
    </xf>
    <xf numFmtId="172" fontId="16" fillId="0" borderId="9" xfId="0" applyNumberFormat="1" applyFont="1" applyFill="1" applyBorder="1" applyAlignment="1">
      <alignment vertical="center"/>
    </xf>
    <xf numFmtId="2" fontId="16" fillId="0" borderId="9" xfId="0" applyNumberFormat="1" applyFont="1" applyFill="1" applyBorder="1" applyAlignment="1">
      <alignment vertical="center"/>
    </xf>
    <xf numFmtId="3" fontId="16" fillId="0" borderId="9" xfId="0" applyNumberFormat="1" applyFont="1" applyFill="1" applyBorder="1" applyAlignment="1">
      <alignment vertical="center"/>
    </xf>
    <xf numFmtId="170" fontId="16" fillId="0" borderId="9" xfId="0" applyNumberFormat="1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181" fontId="2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181" fontId="70" fillId="0" borderId="37" xfId="0" applyNumberFormat="1" applyFont="1" applyBorder="1" applyAlignment="1">
      <alignment horizontal="center" vertical="center"/>
    </xf>
    <xf numFmtId="181" fontId="70" fillId="0" borderId="37" xfId="2" applyNumberFormat="1" applyFont="1" applyFill="1" applyBorder="1" applyAlignment="1" applyProtection="1">
      <alignment horizontal="center" vertical="center"/>
    </xf>
    <xf numFmtId="0" fontId="70" fillId="2" borderId="37" xfId="0" applyFont="1" applyFill="1" applyBorder="1" applyAlignment="1">
      <alignment horizontal="center" vertical="center"/>
    </xf>
    <xf numFmtId="0" fontId="70" fillId="0" borderId="37" xfId="0" applyFont="1" applyBorder="1" applyAlignment="1">
      <alignment horizontal="center" vertical="center"/>
    </xf>
    <xf numFmtId="0" fontId="70" fillId="0" borderId="37" xfId="2" applyNumberFormat="1" applyFont="1" applyFill="1" applyBorder="1" applyAlignment="1" applyProtection="1">
      <alignment horizontal="center" vertical="center"/>
    </xf>
    <xf numFmtId="0" fontId="70" fillId="0" borderId="0" xfId="0" applyFont="1" applyAlignment="1">
      <alignment horizontal="center" vertical="center"/>
    </xf>
    <xf numFmtId="181" fontId="71" fillId="0" borderId="37" xfId="0" applyNumberFormat="1" applyFont="1" applyBorder="1" applyAlignment="1">
      <alignment horizontal="center" vertical="center"/>
    </xf>
    <xf numFmtId="10" fontId="71" fillId="0" borderId="37" xfId="0" applyNumberFormat="1" applyFont="1" applyBorder="1" applyAlignment="1">
      <alignment horizontal="center" vertical="center"/>
    </xf>
    <xf numFmtId="10" fontId="70" fillId="0" borderId="37" xfId="0" applyNumberFormat="1" applyFont="1" applyBorder="1" applyAlignment="1">
      <alignment horizontal="center" vertical="center"/>
    </xf>
    <xf numFmtId="9" fontId="70" fillId="0" borderId="37" xfId="0" applyNumberFormat="1" applyFont="1" applyBorder="1" applyAlignment="1">
      <alignment horizontal="center" vertical="center"/>
    </xf>
    <xf numFmtId="0" fontId="39" fillId="2" borderId="85" xfId="0" applyFont="1" applyFill="1" applyBorder="1" applyAlignment="1">
      <alignment horizontal="left" vertical="center"/>
    </xf>
    <xf numFmtId="0" fontId="39" fillId="0" borderId="85" xfId="0" applyFont="1" applyBorder="1" applyAlignment="1">
      <alignment horizontal="left" vertical="center"/>
    </xf>
    <xf numFmtId="0" fontId="37" fillId="12" borderId="85" xfId="0" applyFont="1" applyFill="1" applyBorder="1" applyAlignment="1">
      <alignment horizontal="left" vertical="center"/>
    </xf>
    <xf numFmtId="0" fontId="39" fillId="0" borderId="85" xfId="0" applyFont="1" applyBorder="1" applyAlignment="1">
      <alignment horizontal="left"/>
    </xf>
    <xf numFmtId="0" fontId="37" fillId="12" borderId="85" xfId="0" applyFont="1" applyFill="1" applyBorder="1" applyAlignment="1">
      <alignment horizontal="left"/>
    </xf>
    <xf numFmtId="0" fontId="57" fillId="0" borderId="85" xfId="0" applyFont="1" applyBorder="1" applyAlignment="1">
      <alignment horizontal="left" vertical="center"/>
    </xf>
    <xf numFmtId="0" fontId="37" fillId="25" borderId="85" xfId="0" applyFont="1" applyFill="1" applyBorder="1" applyAlignment="1">
      <alignment horizontal="left" vertical="center"/>
    </xf>
    <xf numFmtId="0" fontId="46" fillId="2" borderId="85" xfId="0" applyFont="1" applyFill="1" applyBorder="1" applyAlignment="1">
      <alignment horizontal="center" vertical="center"/>
    </xf>
    <xf numFmtId="0" fontId="39" fillId="2" borderId="85" xfId="0" applyFont="1" applyFill="1" applyBorder="1" applyAlignment="1">
      <alignment horizontal="left"/>
    </xf>
    <xf numFmtId="164" fontId="6" fillId="0" borderId="0" xfId="0" applyNumberFormat="1" applyFont="1" applyBorder="1"/>
    <xf numFmtId="174" fontId="6" fillId="0" borderId="0" xfId="0" applyNumberFormat="1" applyFont="1" applyBorder="1"/>
    <xf numFmtId="10" fontId="6" fillId="0" borderId="0" xfId="0" applyNumberFormat="1" applyFont="1" applyBorder="1"/>
    <xf numFmtId="182" fontId="39" fillId="2" borderId="78" xfId="0" applyNumberFormat="1" applyFont="1" applyFill="1" applyBorder="1" applyAlignment="1">
      <alignment horizontal="center" vertical="center"/>
    </xf>
    <xf numFmtId="0" fontId="39" fillId="2" borderId="85" xfId="0" quotePrefix="1" applyFont="1" applyFill="1" applyBorder="1" applyAlignment="1">
      <alignment horizontal="center" vertical="center"/>
    </xf>
    <xf numFmtId="0" fontId="39" fillId="2" borderId="85" xfId="0" applyFont="1" applyFill="1" applyBorder="1" applyAlignment="1" applyProtection="1">
      <alignment horizontal="center" vertical="center"/>
      <protection locked="0"/>
    </xf>
    <xf numFmtId="175" fontId="38" fillId="2" borderId="85" xfId="0" applyNumberFormat="1" applyFont="1" applyFill="1" applyBorder="1" applyAlignment="1" applyProtection="1">
      <alignment horizontal="center" vertical="center"/>
      <protection locked="0"/>
    </xf>
    <xf numFmtId="175" fontId="39" fillId="2" borderId="85" xfId="0" applyNumberFormat="1" applyFont="1" applyFill="1" applyBorder="1" applyAlignment="1" applyProtection="1">
      <alignment horizontal="center" vertical="center"/>
      <protection locked="0"/>
    </xf>
    <xf numFmtId="0" fontId="36" fillId="0" borderId="0" xfId="0" applyFont="1" applyAlignment="1">
      <alignment horizontal="left" vertical="center"/>
    </xf>
    <xf numFmtId="0" fontId="39" fillId="2" borderId="85" xfId="0" applyFont="1" applyFill="1" applyBorder="1" applyAlignment="1">
      <alignment horizontal="center" vertical="center"/>
    </xf>
    <xf numFmtId="187" fontId="39" fillId="2" borderId="85" xfId="0" applyNumberFormat="1" applyFont="1" applyFill="1" applyBorder="1" applyAlignment="1">
      <alignment horizontal="center" vertical="center"/>
    </xf>
    <xf numFmtId="0" fontId="44" fillId="2" borderId="85" xfId="0" applyFont="1" applyFill="1" applyBorder="1" applyAlignment="1">
      <alignment vertical="center"/>
    </xf>
    <xf numFmtId="167" fontId="39" fillId="2" borderId="85" xfId="0" applyNumberFormat="1" applyFont="1" applyFill="1" applyBorder="1" applyAlignment="1">
      <alignment horizontal="center" vertical="center"/>
    </xf>
    <xf numFmtId="172" fontId="39" fillId="2" borderId="85" xfId="0" applyNumberFormat="1" applyFont="1" applyFill="1" applyBorder="1" applyAlignment="1">
      <alignment horizontal="right" vertical="center"/>
    </xf>
    <xf numFmtId="175" fontId="39" fillId="2" borderId="85" xfId="0" applyNumberFormat="1" applyFont="1" applyFill="1" applyBorder="1" applyAlignment="1">
      <alignment horizontal="center" vertical="center"/>
    </xf>
    <xf numFmtId="0" fontId="39" fillId="2" borderId="85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9" fillId="0" borderId="85" xfId="0" applyFont="1" applyBorder="1" applyAlignment="1">
      <alignment horizontal="center" vertical="center"/>
    </xf>
    <xf numFmtId="0" fontId="37" fillId="12" borderId="85" xfId="0" applyFont="1" applyFill="1" applyBorder="1" applyAlignment="1">
      <alignment horizontal="center" vertical="center"/>
    </xf>
    <xf numFmtId="17" fontId="36" fillId="0" borderId="0" xfId="0" applyNumberFormat="1" applyFont="1" applyAlignment="1">
      <alignment horizontal="center" vertical="center"/>
    </xf>
    <xf numFmtId="3" fontId="19" fillId="0" borderId="9" xfId="0" applyNumberFormat="1" applyFont="1" applyFill="1" applyBorder="1" applyAlignment="1">
      <alignment vertical="center"/>
    </xf>
    <xf numFmtId="168" fontId="38" fillId="0" borderId="5" xfId="0" applyNumberFormat="1" applyFont="1" applyBorder="1" applyAlignment="1">
      <alignment horizontal="center" vertical="center"/>
    </xf>
    <xf numFmtId="0" fontId="72" fillId="2" borderId="5" xfId="0" applyFont="1" applyFill="1" applyBorder="1" applyAlignment="1">
      <alignment vertical="center"/>
    </xf>
    <xf numFmtId="0" fontId="38" fillId="0" borderId="5" xfId="0" applyFont="1" applyBorder="1" applyAlignment="1">
      <alignment horizontal="center" vertical="center"/>
    </xf>
    <xf numFmtId="3" fontId="36" fillId="2" borderId="5" xfId="0" applyNumberFormat="1" applyFont="1" applyFill="1" applyBorder="1" applyAlignment="1">
      <alignment horizontal="center" vertical="center"/>
    </xf>
    <xf numFmtId="0" fontId="44" fillId="2" borderId="85" xfId="0" applyFont="1" applyFill="1" applyBorder="1" applyAlignment="1">
      <alignment horizontal="center" vertical="center"/>
    </xf>
    <xf numFmtId="0" fontId="36" fillId="2" borderId="85" xfId="0" applyFont="1" applyFill="1" applyBorder="1" applyAlignment="1">
      <alignment horizontal="center" vertical="center"/>
    </xf>
    <xf numFmtId="0" fontId="36" fillId="2" borderId="85" xfId="0" applyFont="1" applyFill="1" applyBorder="1" applyAlignment="1">
      <alignment horizontal="left" vertical="center"/>
    </xf>
    <xf numFmtId="49" fontId="39" fillId="2" borderId="85" xfId="0" applyNumberFormat="1" applyFont="1" applyFill="1" applyBorder="1" applyAlignment="1">
      <alignment horizontal="center" vertical="center"/>
    </xf>
    <xf numFmtId="175" fontId="38" fillId="2" borderId="85" xfId="0" applyNumberFormat="1" applyFont="1" applyFill="1" applyBorder="1" applyAlignment="1">
      <alignment horizontal="center" vertical="center"/>
    </xf>
    <xf numFmtId="49" fontId="39" fillId="2" borderId="85" xfId="0" applyNumberFormat="1" applyFont="1" applyFill="1" applyBorder="1" applyAlignment="1">
      <alignment horizontal="center" vertical="center" wrapText="1"/>
    </xf>
    <xf numFmtId="3" fontId="36" fillId="2" borderId="37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3" fontId="36" fillId="0" borderId="86" xfId="0" applyNumberFormat="1" applyFont="1" applyBorder="1" applyAlignment="1">
      <alignment horizontal="left" vertical="center"/>
    </xf>
    <xf numFmtId="0" fontId="36" fillId="0" borderId="86" xfId="0" applyFont="1" applyBorder="1" applyAlignment="1">
      <alignment horizontal="center" vertical="center"/>
    </xf>
    <xf numFmtId="0" fontId="36" fillId="0" borderId="86" xfId="0" applyFont="1" applyBorder="1" applyAlignment="1">
      <alignment horizontal="left" vertical="center"/>
    </xf>
    <xf numFmtId="172" fontId="16" fillId="0" borderId="8" xfId="0" applyNumberFormat="1" applyFont="1" applyFill="1" applyBorder="1" applyAlignment="1">
      <alignment vertical="center"/>
    </xf>
    <xf numFmtId="0" fontId="39" fillId="0" borderId="0" xfId="0" applyFont="1" applyAlignment="1">
      <alignment horizontal="center" vertical="center"/>
    </xf>
    <xf numFmtId="43" fontId="39" fillId="0" borderId="2" xfId="0" applyNumberFormat="1" applyFont="1" applyBorder="1" applyAlignment="1">
      <alignment horizontal="right" vertical="center"/>
    </xf>
    <xf numFmtId="165" fontId="73" fillId="0" borderId="0" xfId="2" applyFont="1" applyAlignment="1">
      <alignment horizontal="center" vertical="center"/>
    </xf>
    <xf numFmtId="0" fontId="72" fillId="2" borderId="85" xfId="0" applyFont="1" applyFill="1" applyBorder="1" applyAlignment="1">
      <alignment vertical="center"/>
    </xf>
    <xf numFmtId="0" fontId="57" fillId="0" borderId="85" xfId="0" applyFont="1" applyBorder="1" applyAlignment="1">
      <alignment horizontal="center" vertical="center"/>
    </xf>
    <xf numFmtId="0" fontId="57" fillId="0" borderId="85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left" vertical="center"/>
    </xf>
    <xf numFmtId="173" fontId="36" fillId="2" borderId="85" xfId="0" applyNumberFormat="1" applyFont="1" applyFill="1" applyBorder="1"/>
    <xf numFmtId="0" fontId="39" fillId="2" borderId="85" xfId="0" applyFont="1" applyFill="1" applyBorder="1" applyAlignment="1">
      <alignment vertical="center"/>
    </xf>
    <xf numFmtId="0" fontId="39" fillId="2" borderId="85" xfId="0" applyFont="1" applyFill="1" applyBorder="1" applyAlignment="1">
      <alignment horizontal="center" wrapText="1"/>
    </xf>
    <xf numFmtId="175" fontId="52" fillId="2" borderId="85" xfId="0" applyNumberFormat="1" applyFont="1" applyFill="1" applyBorder="1" applyAlignment="1">
      <alignment horizontal="center" vertical="center"/>
    </xf>
    <xf numFmtId="175" fontId="52" fillId="2" borderId="78" xfId="0" applyNumberFormat="1" applyFont="1" applyFill="1" applyBorder="1" applyAlignment="1">
      <alignment horizontal="center" vertical="center"/>
    </xf>
    <xf numFmtId="175" fontId="52" fillId="2" borderId="37" xfId="0" applyNumberFormat="1" applyFont="1" applyFill="1" applyBorder="1" applyAlignment="1">
      <alignment horizontal="center" vertical="center"/>
    </xf>
    <xf numFmtId="167" fontId="36" fillId="18" borderId="78" xfId="0" applyNumberFormat="1" applyFont="1" applyFill="1" applyBorder="1" applyAlignment="1">
      <alignment horizontal="center"/>
    </xf>
    <xf numFmtId="0" fontId="39" fillId="0" borderId="6" xfId="0" applyFont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170" fontId="16" fillId="0" borderId="9" xfId="0" applyNumberFormat="1" applyFont="1" applyFill="1" applyBorder="1" applyAlignment="1">
      <alignment horizontal="center" vertical="center"/>
    </xf>
    <xf numFmtId="3" fontId="16" fillId="0" borderId="24" xfId="0" applyNumberFormat="1" applyFont="1" applyFill="1" applyBorder="1" applyAlignment="1">
      <alignment vertical="center"/>
    </xf>
    <xf numFmtId="3" fontId="16" fillId="0" borderId="37" xfId="0" applyNumberFormat="1" applyFont="1" applyFill="1" applyBorder="1" applyAlignment="1">
      <alignment vertical="center"/>
    </xf>
    <xf numFmtId="3" fontId="16" fillId="0" borderId="8" xfId="0" applyNumberFormat="1" applyFont="1" applyFill="1" applyBorder="1" applyAlignment="1">
      <alignment vertical="center"/>
    </xf>
    <xf numFmtId="0" fontId="73" fillId="0" borderId="0" xfId="0" applyFont="1" applyAlignment="1">
      <alignment horizontal="center" vertical="center"/>
    </xf>
    <xf numFmtId="182" fontId="39" fillId="0" borderId="78" xfId="0" applyNumberFormat="1" applyFont="1" applyFill="1" applyBorder="1" applyAlignment="1">
      <alignment horizontal="center" vertical="center"/>
    </xf>
    <xf numFmtId="0" fontId="39" fillId="0" borderId="78" xfId="0" applyFont="1" applyFill="1" applyBorder="1" applyAlignment="1">
      <alignment horizontal="left" vertical="center"/>
    </xf>
    <xf numFmtId="0" fontId="39" fillId="0" borderId="85" xfId="0" quotePrefix="1" applyFont="1" applyFill="1" applyBorder="1" applyAlignment="1">
      <alignment horizontal="center" vertical="center"/>
    </xf>
    <xf numFmtId="0" fontId="39" fillId="0" borderId="5" xfId="0" applyFont="1" applyFill="1" applyBorder="1" applyAlignment="1">
      <alignment horizontal="center" vertical="center"/>
    </xf>
    <xf numFmtId="0" fontId="44" fillId="0" borderId="78" xfId="0" applyFont="1" applyFill="1" applyBorder="1" applyAlignment="1">
      <alignment vertical="center"/>
    </xf>
    <xf numFmtId="172" fontId="39" fillId="0" borderId="78" xfId="0" applyNumberFormat="1" applyFont="1" applyFill="1" applyBorder="1" applyAlignment="1">
      <alignment horizontal="right" vertical="center"/>
    </xf>
    <xf numFmtId="186" fontId="39" fillId="0" borderId="78" xfId="0" applyNumberFormat="1" applyFont="1" applyFill="1" applyBorder="1" applyAlignment="1">
      <alignment horizontal="center" vertical="center"/>
    </xf>
    <xf numFmtId="0" fontId="39" fillId="0" borderId="85" xfId="0" applyFont="1" applyFill="1" applyBorder="1" applyAlignment="1">
      <alignment horizontal="center" vertical="center"/>
    </xf>
    <xf numFmtId="167" fontId="39" fillId="0" borderId="78" xfId="0" applyNumberFormat="1" applyFont="1" applyFill="1" applyBorder="1" applyAlignment="1">
      <alignment horizontal="center" vertical="center"/>
    </xf>
    <xf numFmtId="187" fontId="39" fillId="0" borderId="5" xfId="0" applyNumberFormat="1" applyFont="1" applyFill="1" applyBorder="1" applyAlignment="1">
      <alignment horizontal="center" vertical="center"/>
    </xf>
    <xf numFmtId="0" fontId="38" fillId="0" borderId="78" xfId="0" applyFont="1" applyFill="1" applyBorder="1" applyAlignment="1">
      <alignment horizontal="center" vertical="center"/>
    </xf>
    <xf numFmtId="0" fontId="39" fillId="0" borderId="85" xfId="0" applyFont="1" applyFill="1" applyBorder="1" applyAlignment="1" applyProtection="1">
      <alignment horizontal="center" vertical="center"/>
      <protection locked="0"/>
    </xf>
    <xf numFmtId="0" fontId="44" fillId="0" borderId="85" xfId="0" applyFont="1" applyFill="1" applyBorder="1" applyAlignment="1" applyProtection="1">
      <alignment vertical="center"/>
      <protection locked="0"/>
    </xf>
    <xf numFmtId="167" fontId="39" fillId="0" borderId="85" xfId="0" applyNumberFormat="1" applyFont="1" applyFill="1" applyBorder="1" applyAlignment="1" applyProtection="1">
      <alignment horizontal="center" vertical="center"/>
      <protection locked="0"/>
    </xf>
    <xf numFmtId="0" fontId="39" fillId="0" borderId="85" xfId="0" applyFont="1" applyFill="1" applyBorder="1" applyAlignment="1" applyProtection="1">
      <alignment horizontal="left" vertical="center"/>
      <protection locked="0"/>
    </xf>
    <xf numFmtId="0" fontId="36" fillId="0" borderId="5" xfId="0" applyFont="1" applyFill="1" applyBorder="1" applyAlignment="1">
      <alignment horizontal="center" vertical="center"/>
    </xf>
    <xf numFmtId="0" fontId="36" fillId="0" borderId="78" xfId="0" applyFont="1" applyFill="1" applyBorder="1" applyAlignment="1">
      <alignment horizontal="center" vertical="center"/>
    </xf>
    <xf numFmtId="0" fontId="72" fillId="0" borderId="78" xfId="0" applyFont="1" applyFill="1" applyBorder="1" applyAlignment="1">
      <alignment vertical="center"/>
    </xf>
    <xf numFmtId="186" fontId="39" fillId="0" borderId="37" xfId="0" applyNumberFormat="1" applyFont="1" applyFill="1" applyBorder="1" applyAlignment="1">
      <alignment horizontal="center" vertical="center"/>
    </xf>
    <xf numFmtId="0" fontId="39" fillId="0" borderId="37" xfId="0" applyFont="1" applyFill="1" applyBorder="1" applyAlignment="1">
      <alignment horizontal="center" vertical="center"/>
    </xf>
    <xf numFmtId="0" fontId="39" fillId="0" borderId="37" xfId="0" applyFont="1" applyFill="1" applyBorder="1" applyAlignment="1">
      <alignment horizontal="left" vertical="center"/>
    </xf>
    <xf numFmtId="0" fontId="44" fillId="0" borderId="37" xfId="0" applyFont="1" applyFill="1" applyBorder="1" applyAlignment="1">
      <alignment vertical="center"/>
    </xf>
    <xf numFmtId="167" fontId="39" fillId="0" borderId="37" xfId="0" applyNumberFormat="1" applyFont="1" applyFill="1" applyBorder="1" applyAlignment="1">
      <alignment horizontal="center" vertical="center"/>
    </xf>
    <xf numFmtId="167" fontId="39" fillId="0" borderId="85" xfId="0" applyNumberFormat="1" applyFont="1" applyFill="1" applyBorder="1" applyAlignment="1">
      <alignment horizontal="center" vertical="center"/>
    </xf>
    <xf numFmtId="0" fontId="36" fillId="0" borderId="37" xfId="0" applyFont="1" applyFill="1" applyBorder="1" applyAlignment="1">
      <alignment horizontal="center" vertical="center"/>
    </xf>
    <xf numFmtId="0" fontId="39" fillId="0" borderId="78" xfId="0" applyFont="1" applyFill="1" applyBorder="1" applyAlignment="1">
      <alignment horizontal="center" vertical="center" wrapText="1"/>
    </xf>
    <xf numFmtId="0" fontId="39" fillId="0" borderId="78" xfId="0" quotePrefix="1" applyFont="1" applyFill="1" applyBorder="1" applyAlignment="1">
      <alignment horizontal="center" vertical="center"/>
    </xf>
    <xf numFmtId="186" fontId="39" fillId="0" borderId="37" xfId="0" applyNumberFormat="1" applyFont="1" applyFill="1" applyBorder="1" applyAlignment="1" applyProtection="1">
      <alignment horizontal="center" vertical="center"/>
      <protection locked="0"/>
    </xf>
    <xf numFmtId="0" fontId="39" fillId="0" borderId="37" xfId="0" applyFont="1" applyFill="1" applyBorder="1" applyAlignment="1" applyProtection="1">
      <alignment horizontal="center" vertical="center"/>
      <protection locked="0"/>
    </xf>
    <xf numFmtId="0" fontId="39" fillId="0" borderId="37" xfId="0" applyFont="1" applyFill="1" applyBorder="1" applyAlignment="1" applyProtection="1">
      <alignment horizontal="left" vertical="center"/>
      <protection locked="0"/>
    </xf>
    <xf numFmtId="0" fontId="39" fillId="0" borderId="5" xfId="0" applyFont="1" applyFill="1" applyBorder="1" applyAlignment="1" applyProtection="1">
      <alignment horizontal="center" vertical="center"/>
      <protection locked="0"/>
    </xf>
    <xf numFmtId="0" fontId="44" fillId="0" borderId="37" xfId="0" applyFont="1" applyFill="1" applyBorder="1" applyAlignment="1" applyProtection="1">
      <alignment vertical="center"/>
      <protection locked="0"/>
    </xf>
    <xf numFmtId="167" fontId="39" fillId="0" borderId="37" xfId="0" applyNumberFormat="1" applyFont="1" applyFill="1" applyBorder="1" applyAlignment="1" applyProtection="1">
      <alignment horizontal="center" vertical="center"/>
      <protection locked="0"/>
    </xf>
    <xf numFmtId="186" fontId="39" fillId="0" borderId="85" xfId="0" applyNumberFormat="1" applyFont="1" applyFill="1" applyBorder="1" applyAlignment="1" applyProtection="1">
      <alignment horizontal="center" vertical="center"/>
      <protection locked="0"/>
    </xf>
    <xf numFmtId="0" fontId="38" fillId="0" borderId="85" xfId="0" applyFont="1" applyFill="1" applyBorder="1" applyAlignment="1" applyProtection="1">
      <alignment horizontal="center" vertical="center"/>
      <protection locked="0"/>
    </xf>
    <xf numFmtId="0" fontId="39" fillId="0" borderId="85" xfId="0" applyFont="1" applyFill="1" applyBorder="1" applyAlignment="1" applyProtection="1">
      <alignment horizontal="center" vertical="center" wrapText="1"/>
      <protection locked="0"/>
    </xf>
    <xf numFmtId="0" fontId="36" fillId="0" borderId="85" xfId="0" applyFont="1" applyFill="1" applyBorder="1" applyAlignment="1" applyProtection="1">
      <alignment horizontal="center" vertical="center"/>
      <protection locked="0"/>
    </xf>
    <xf numFmtId="172" fontId="39" fillId="0" borderId="85" xfId="0" applyNumberFormat="1" applyFont="1" applyFill="1" applyBorder="1" applyAlignment="1" applyProtection="1">
      <alignment horizontal="right" vertical="center"/>
      <protection locked="0"/>
    </xf>
    <xf numFmtId="172" fontId="39" fillId="0" borderId="37" xfId="0" applyNumberFormat="1" applyFont="1" applyFill="1" applyBorder="1" applyAlignment="1">
      <alignment horizontal="right" vertical="center"/>
    </xf>
    <xf numFmtId="172" fontId="39" fillId="0" borderId="85" xfId="0" applyNumberFormat="1" applyFont="1" applyFill="1" applyBorder="1" applyAlignment="1">
      <alignment horizontal="right" vertical="center"/>
    </xf>
    <xf numFmtId="172" fontId="39" fillId="0" borderId="37" xfId="0" applyNumberFormat="1" applyFont="1" applyFill="1" applyBorder="1" applyAlignment="1" applyProtection="1">
      <alignment horizontal="right" vertical="center"/>
      <protection locked="0"/>
    </xf>
    <xf numFmtId="0" fontId="39" fillId="0" borderId="78" xfId="0" applyFont="1" applyFill="1" applyBorder="1" applyAlignment="1" applyProtection="1">
      <alignment horizontal="center" vertical="center"/>
      <protection locked="0"/>
    </xf>
    <xf numFmtId="0" fontId="36" fillId="0" borderId="37" xfId="0" applyFont="1" applyFill="1" applyBorder="1" applyAlignment="1" applyProtection="1">
      <alignment horizontal="center" vertical="center"/>
      <protection locked="0"/>
    </xf>
    <xf numFmtId="175" fontId="38" fillId="0" borderId="78" xfId="0" applyNumberFormat="1" applyFont="1" applyFill="1" applyBorder="1" applyAlignment="1">
      <alignment horizontal="center" vertical="center"/>
    </xf>
    <xf numFmtId="175" fontId="39" fillId="0" borderId="78" xfId="0" applyNumberFormat="1" applyFont="1" applyFill="1" applyBorder="1" applyAlignment="1">
      <alignment horizontal="center" vertical="center"/>
    </xf>
    <xf numFmtId="175" fontId="38" fillId="0" borderId="85" xfId="0" applyNumberFormat="1" applyFont="1" applyFill="1" applyBorder="1" applyAlignment="1" applyProtection="1">
      <alignment horizontal="center" vertical="center"/>
      <protection locked="0"/>
    </xf>
    <xf numFmtId="175" fontId="39" fillId="0" borderId="85" xfId="0" applyNumberFormat="1" applyFont="1" applyFill="1" applyBorder="1" applyAlignment="1" applyProtection="1">
      <alignment horizontal="center" vertical="center"/>
      <protection locked="0"/>
    </xf>
    <xf numFmtId="175" fontId="38" fillId="0" borderId="37" xfId="0" applyNumberFormat="1" applyFont="1" applyFill="1" applyBorder="1" applyAlignment="1">
      <alignment horizontal="center" vertical="center"/>
    </xf>
    <xf numFmtId="175" fontId="39" fillId="0" borderId="37" xfId="0" applyNumberFormat="1" applyFont="1" applyFill="1" applyBorder="1" applyAlignment="1">
      <alignment horizontal="center" vertical="center"/>
    </xf>
    <xf numFmtId="0" fontId="39" fillId="0" borderId="37" xfId="0" applyFont="1" applyFill="1" applyBorder="1" applyAlignment="1">
      <alignment horizontal="center" vertical="center" wrapText="1"/>
    </xf>
    <xf numFmtId="49" fontId="36" fillId="0" borderId="37" xfId="0" applyNumberFormat="1" applyFont="1" applyFill="1" applyBorder="1" applyAlignment="1">
      <alignment horizontal="center" vertical="center"/>
    </xf>
    <xf numFmtId="175" fontId="39" fillId="0" borderId="85" xfId="0" applyNumberFormat="1" applyFont="1" applyFill="1" applyBorder="1" applyAlignment="1">
      <alignment horizontal="center" vertical="center"/>
    </xf>
    <xf numFmtId="175" fontId="38" fillId="0" borderId="37" xfId="0" applyNumberFormat="1" applyFont="1" applyFill="1" applyBorder="1" applyAlignment="1" applyProtection="1">
      <alignment horizontal="center" vertical="center"/>
      <protection locked="0"/>
    </xf>
    <xf numFmtId="175" fontId="39" fillId="0" borderId="37" xfId="0" applyNumberFormat="1" applyFont="1" applyFill="1" applyBorder="1" applyAlignment="1" applyProtection="1">
      <alignment horizontal="center" vertical="center"/>
      <protection locked="0"/>
    </xf>
    <xf numFmtId="0" fontId="39" fillId="0" borderId="37" xfId="0" applyFont="1" applyFill="1" applyBorder="1" applyAlignment="1" applyProtection="1">
      <alignment horizontal="center" vertical="center" wrapText="1"/>
      <protection locked="0"/>
    </xf>
    <xf numFmtId="0" fontId="38" fillId="0" borderId="5" xfId="0" applyFont="1" applyFill="1" applyBorder="1" applyAlignment="1">
      <alignment horizontal="center" vertical="center"/>
    </xf>
    <xf numFmtId="0" fontId="39" fillId="0" borderId="5" xfId="0" applyFont="1" applyFill="1" applyBorder="1" applyAlignment="1">
      <alignment horizontal="center"/>
    </xf>
    <xf numFmtId="0" fontId="39" fillId="0" borderId="5" xfId="0" applyFont="1" applyFill="1" applyBorder="1" applyAlignment="1">
      <alignment horizontal="left"/>
    </xf>
    <xf numFmtId="0" fontId="44" fillId="0" borderId="5" xfId="0" applyFont="1" applyFill="1" applyBorder="1"/>
    <xf numFmtId="167" fontId="39" fillId="0" borderId="5" xfId="0" applyNumberFormat="1" applyFont="1" applyFill="1" applyBorder="1" applyAlignment="1">
      <alignment horizontal="center"/>
    </xf>
    <xf numFmtId="185" fontId="39" fillId="0" borderId="5" xfId="0" applyNumberFormat="1" applyFont="1" applyFill="1" applyBorder="1" applyAlignment="1">
      <alignment horizontal="center"/>
    </xf>
    <xf numFmtId="0" fontId="44" fillId="0" borderId="5" xfId="0" applyFont="1" applyFill="1" applyBorder="1" applyAlignment="1">
      <alignment horizontal="center"/>
    </xf>
    <xf numFmtId="187" fontId="39" fillId="0" borderId="5" xfId="0" applyNumberFormat="1" applyFont="1" applyFill="1" applyBorder="1" applyAlignment="1">
      <alignment horizontal="center"/>
    </xf>
    <xf numFmtId="0" fontId="44" fillId="0" borderId="37" xfId="0" applyFont="1" applyFill="1" applyBorder="1" applyAlignment="1">
      <alignment horizontal="center"/>
    </xf>
    <xf numFmtId="0" fontId="44" fillId="0" borderId="37" xfId="0" applyFont="1" applyFill="1" applyBorder="1"/>
    <xf numFmtId="0" fontId="39" fillId="0" borderId="37" xfId="0" applyFont="1" applyFill="1" applyBorder="1" applyAlignment="1">
      <alignment horizontal="center"/>
    </xf>
    <xf numFmtId="167" fontId="39" fillId="0" borderId="37" xfId="0" applyNumberFormat="1" applyFont="1" applyFill="1" applyBorder="1" applyAlignment="1">
      <alignment horizontal="center"/>
    </xf>
    <xf numFmtId="185" fontId="39" fillId="0" borderId="37" xfId="0" applyNumberFormat="1" applyFont="1" applyFill="1" applyBorder="1" applyAlignment="1">
      <alignment horizontal="center"/>
    </xf>
    <xf numFmtId="0" fontId="39" fillId="0" borderId="37" xfId="0" applyFont="1" applyFill="1" applyBorder="1" applyAlignment="1">
      <alignment horizontal="left"/>
    </xf>
    <xf numFmtId="0" fontId="70" fillId="0" borderId="37" xfId="0" applyFont="1" applyFill="1" applyBorder="1" applyAlignment="1">
      <alignment horizontal="center" vertical="center"/>
    </xf>
    <xf numFmtId="0" fontId="70" fillId="0" borderId="37" xfId="7" applyFont="1" applyFill="1" applyBorder="1" applyAlignment="1">
      <alignment horizontal="center" vertical="center"/>
    </xf>
    <xf numFmtId="10" fontId="70" fillId="0" borderId="37" xfId="7" applyNumberFormat="1" applyFont="1" applyFill="1" applyBorder="1" applyAlignment="1">
      <alignment horizontal="center" vertical="center"/>
    </xf>
    <xf numFmtId="181" fontId="70" fillId="0" borderId="37" xfId="7" applyNumberFormat="1" applyFont="1" applyFill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72" fillId="0" borderId="85" xfId="0" applyFont="1" applyFill="1" applyBorder="1" applyAlignment="1" applyProtection="1">
      <alignment vertical="center"/>
      <protection locked="0"/>
    </xf>
    <xf numFmtId="0" fontId="38" fillId="0" borderId="37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vertical="center"/>
    </xf>
    <xf numFmtId="0" fontId="75" fillId="0" borderId="0" xfId="0" applyFont="1"/>
    <xf numFmtId="167" fontId="36" fillId="0" borderId="85" xfId="0" applyNumberFormat="1" applyFont="1" applyFill="1" applyBorder="1" applyAlignment="1" applyProtection="1">
      <alignment horizontal="center" vertical="center"/>
      <protection locked="0"/>
    </xf>
    <xf numFmtId="0" fontId="39" fillId="0" borderId="85" xfId="0" applyFont="1" applyFill="1" applyBorder="1" applyAlignment="1" applyProtection="1">
      <alignment horizontal="left" vertical="center" wrapText="1"/>
      <protection locked="0"/>
    </xf>
    <xf numFmtId="172" fontId="7" fillId="0" borderId="9" xfId="0" applyNumberFormat="1" applyFont="1" applyFill="1" applyBorder="1" applyAlignment="1">
      <alignment vertical="center"/>
    </xf>
    <xf numFmtId="0" fontId="70" fillId="0" borderId="5" xfId="0" applyFont="1" applyFill="1" applyBorder="1" applyAlignment="1">
      <alignment horizontal="center"/>
    </xf>
    <xf numFmtId="0" fontId="72" fillId="0" borderId="37" xfId="0" applyFont="1" applyFill="1" applyBorder="1" applyAlignment="1" applyProtection="1">
      <alignment vertical="center"/>
      <protection locked="0"/>
    </xf>
    <xf numFmtId="0" fontId="36" fillId="2" borderId="5" xfId="0" applyFont="1" applyFill="1" applyBorder="1" applyAlignment="1">
      <alignment horizontal="center" vertical="center" wrapText="1"/>
    </xf>
    <xf numFmtId="182" fontId="39" fillId="0" borderId="85" xfId="0" applyNumberFormat="1" applyFont="1" applyFill="1" applyBorder="1" applyAlignment="1">
      <alignment horizontal="center" vertical="center"/>
    </xf>
    <xf numFmtId="46" fontId="36" fillId="0" borderId="37" xfId="0" applyNumberFormat="1" applyFont="1" applyFill="1" applyBorder="1" applyAlignment="1" applyProtection="1">
      <alignment horizontal="center" vertical="center"/>
      <protection locked="0"/>
    </xf>
    <xf numFmtId="0" fontId="38" fillId="2" borderId="85" xfId="0" applyFont="1" applyFill="1" applyBorder="1" applyAlignment="1">
      <alignment horizontal="center" vertical="center"/>
    </xf>
    <xf numFmtId="167" fontId="4" fillId="2" borderId="30" xfId="0" applyNumberFormat="1" applyFont="1" applyFill="1" applyBorder="1" applyAlignment="1">
      <alignment horizontal="center" vertical="center"/>
    </xf>
    <xf numFmtId="167" fontId="4" fillId="2" borderId="33" xfId="0" applyNumberFormat="1" applyFont="1" applyFill="1" applyBorder="1" applyAlignment="1">
      <alignment horizontal="center" vertical="center"/>
    </xf>
    <xf numFmtId="167" fontId="4" fillId="2" borderId="37" xfId="0" applyNumberFormat="1" applyFont="1" applyFill="1" applyBorder="1" applyAlignment="1">
      <alignment horizontal="center" vertical="center"/>
    </xf>
    <xf numFmtId="0" fontId="36" fillId="0" borderId="19" xfId="0" applyFont="1" applyBorder="1" applyAlignment="1">
      <alignment vertical="center"/>
    </xf>
    <xf numFmtId="0" fontId="77" fillId="0" borderId="37" xfId="0" applyFont="1" applyBorder="1" applyAlignment="1">
      <alignment wrapText="1"/>
    </xf>
    <xf numFmtId="177" fontId="77" fillId="0" borderId="37" xfId="1" applyNumberFormat="1" applyFont="1" applyBorder="1" applyAlignment="1">
      <alignment wrapText="1"/>
    </xf>
    <xf numFmtId="0" fontId="77" fillId="0" borderId="0" xfId="0" applyFont="1" applyAlignment="1">
      <alignment wrapText="1"/>
    </xf>
    <xf numFmtId="10" fontId="77" fillId="0" borderId="37" xfId="0" applyNumberFormat="1" applyFont="1" applyBorder="1" applyAlignment="1">
      <alignment wrapText="1"/>
    </xf>
    <xf numFmtId="186" fontId="39" fillId="0" borderId="5" xfId="0" applyNumberFormat="1" applyFont="1" applyFill="1" applyBorder="1" applyAlignment="1" applyProtection="1">
      <alignment horizontal="center" vertical="center"/>
      <protection locked="0"/>
    </xf>
    <xf numFmtId="0" fontId="39" fillId="0" borderId="5" xfId="0" applyFont="1" applyFill="1" applyBorder="1" applyAlignment="1" applyProtection="1">
      <alignment horizontal="left" vertical="center"/>
      <protection locked="0"/>
    </xf>
    <xf numFmtId="0" fontId="44" fillId="0" borderId="5" xfId="0" applyFont="1" applyFill="1" applyBorder="1" applyAlignment="1" applyProtection="1">
      <alignment horizontal="center" vertical="center"/>
      <protection locked="0"/>
    </xf>
    <xf numFmtId="0" fontId="44" fillId="0" borderId="5" xfId="0" applyFont="1" applyFill="1" applyBorder="1" applyAlignment="1" applyProtection="1">
      <alignment vertical="center"/>
      <protection locked="0"/>
    </xf>
    <xf numFmtId="167" fontId="39" fillId="0" borderId="5" xfId="0" applyNumberFormat="1" applyFont="1" applyFill="1" applyBorder="1" applyAlignment="1" applyProtection="1">
      <alignment horizontal="center" vertical="center"/>
      <protection locked="0"/>
    </xf>
    <xf numFmtId="175" fontId="52" fillId="0" borderId="5" xfId="0" applyNumberFormat="1" applyFont="1" applyFill="1" applyBorder="1" applyAlignment="1" applyProtection="1">
      <alignment horizontal="center" vertical="center"/>
      <protection locked="0"/>
    </xf>
    <xf numFmtId="175" fontId="39" fillId="0" borderId="5" xfId="0" applyNumberFormat="1" applyFont="1" applyFill="1" applyBorder="1" applyAlignment="1" applyProtection="1">
      <alignment horizontal="center" vertical="center"/>
      <protection locked="0"/>
    </xf>
    <xf numFmtId="0" fontId="39" fillId="0" borderId="5" xfId="0" applyFont="1" applyFill="1" applyBorder="1" applyAlignment="1" applyProtection="1">
      <alignment horizontal="center" vertical="center" wrapText="1"/>
      <protection locked="0"/>
    </xf>
    <xf numFmtId="186" fontId="39" fillId="0" borderId="5" xfId="0" applyNumberFormat="1" applyFont="1" applyFill="1" applyBorder="1" applyAlignment="1">
      <alignment horizontal="center" vertical="center"/>
    </xf>
    <xf numFmtId="0" fontId="39" fillId="0" borderId="5" xfId="0" applyFont="1" applyFill="1" applyBorder="1" applyAlignment="1">
      <alignment horizontal="left" vertical="center"/>
    </xf>
    <xf numFmtId="167" fontId="39" fillId="0" borderId="5" xfId="0" applyNumberFormat="1" applyFont="1" applyFill="1" applyBorder="1" applyAlignment="1">
      <alignment horizontal="center" vertical="center"/>
    </xf>
    <xf numFmtId="14" fontId="39" fillId="0" borderId="5" xfId="0" applyNumberFormat="1" applyFont="1" applyFill="1" applyBorder="1" applyAlignment="1">
      <alignment horizontal="center"/>
    </xf>
    <xf numFmtId="0" fontId="39" fillId="0" borderId="85" xfId="0" applyFont="1" applyFill="1" applyBorder="1" applyAlignment="1">
      <alignment horizontal="left" vertical="center"/>
    </xf>
    <xf numFmtId="172" fontId="16" fillId="0" borderId="24" xfId="0" applyNumberFormat="1" applyFont="1" applyFill="1" applyBorder="1" applyAlignment="1">
      <alignment vertical="center"/>
    </xf>
    <xf numFmtId="172" fontId="16" fillId="0" borderId="37" xfId="0" applyNumberFormat="1" applyFont="1" applyFill="1" applyBorder="1" applyAlignment="1">
      <alignment vertical="center"/>
    </xf>
    <xf numFmtId="175" fontId="38" fillId="0" borderId="85" xfId="0" applyNumberFormat="1" applyFont="1" applyFill="1" applyBorder="1" applyAlignment="1">
      <alignment horizontal="center" vertical="center"/>
    </xf>
    <xf numFmtId="0" fontId="36" fillId="0" borderId="85" xfId="0" applyFont="1" applyFill="1" applyBorder="1" applyAlignment="1">
      <alignment horizontal="center" vertical="center"/>
    </xf>
    <xf numFmtId="0" fontId="36" fillId="0" borderId="78" xfId="0" quotePrefix="1" applyFont="1" applyFill="1" applyBorder="1" applyAlignment="1">
      <alignment horizontal="center" vertical="center"/>
    </xf>
    <xf numFmtId="0" fontId="59" fillId="2" borderId="0" xfId="0" applyFont="1" applyFill="1" applyAlignment="1">
      <alignment vertical="center"/>
    </xf>
    <xf numFmtId="0" fontId="38" fillId="2" borderId="78" xfId="0" applyFont="1" applyFill="1" applyBorder="1" applyAlignment="1">
      <alignment horizontal="center" vertical="center"/>
    </xf>
    <xf numFmtId="0" fontId="38" fillId="2" borderId="5" xfId="0" applyFont="1" applyFill="1" applyBorder="1" applyAlignment="1">
      <alignment horizontal="center" vertical="center"/>
    </xf>
    <xf numFmtId="0" fontId="40" fillId="0" borderId="85" xfId="0" applyFont="1" applyFill="1" applyBorder="1" applyAlignment="1" applyProtection="1">
      <alignment horizontal="center" vertical="center"/>
      <protection locked="0"/>
    </xf>
    <xf numFmtId="0" fontId="38" fillId="0" borderId="5" xfId="0" applyFont="1" applyFill="1" applyBorder="1" applyAlignment="1">
      <alignment horizontal="center"/>
    </xf>
    <xf numFmtId="172" fontId="14" fillId="0" borderId="9" xfId="0" applyNumberFormat="1" applyFont="1" applyFill="1" applyBorder="1" applyAlignment="1">
      <alignment vertical="center"/>
    </xf>
    <xf numFmtId="0" fontId="79" fillId="0" borderId="85" xfId="0" applyFont="1" applyFill="1" applyBorder="1" applyAlignment="1" applyProtection="1">
      <alignment horizontal="center" vertical="center"/>
      <protection locked="0"/>
    </xf>
    <xf numFmtId="0" fontId="80" fillId="0" borderId="85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>
      <alignment vertical="center"/>
    </xf>
    <xf numFmtId="182" fontId="39" fillId="0" borderId="37" xfId="0" applyNumberFormat="1" applyFont="1" applyFill="1" applyBorder="1" applyAlignment="1">
      <alignment horizontal="center" vertical="center"/>
    </xf>
    <xf numFmtId="172" fontId="16" fillId="0" borderId="15" xfId="0" applyNumberFormat="1" applyFont="1" applyFill="1" applyBorder="1" applyAlignment="1">
      <alignment vertical="center"/>
    </xf>
    <xf numFmtId="0" fontId="72" fillId="0" borderId="37" xfId="0" applyFont="1" applyFill="1" applyBorder="1" applyAlignment="1">
      <alignment vertical="center"/>
    </xf>
    <xf numFmtId="0" fontId="78" fillId="0" borderId="78" xfId="0" applyFont="1" applyFill="1" applyBorder="1" applyAlignment="1">
      <alignment horizontal="center" vertical="center"/>
    </xf>
    <xf numFmtId="0" fontId="78" fillId="0" borderId="78" xfId="0" applyFont="1" applyFill="1" applyBorder="1" applyAlignment="1">
      <alignment horizontal="left" vertical="center"/>
    </xf>
    <xf numFmtId="172" fontId="39" fillId="0" borderId="5" xfId="0" applyNumberFormat="1" applyFont="1" applyFill="1" applyBorder="1" applyAlignment="1" applyProtection="1">
      <alignment horizontal="right" vertical="center"/>
      <protection locked="0"/>
    </xf>
    <xf numFmtId="172" fontId="39" fillId="0" borderId="5" xfId="0" applyNumberFormat="1" applyFont="1" applyFill="1" applyBorder="1" applyAlignment="1">
      <alignment horizontal="right" vertical="center"/>
    </xf>
    <xf numFmtId="172" fontId="39" fillId="0" borderId="5" xfId="0" applyNumberFormat="1" applyFont="1" applyFill="1" applyBorder="1" applyAlignment="1">
      <alignment horizontal="center" vertical="center"/>
    </xf>
    <xf numFmtId="10" fontId="70" fillId="0" borderId="37" xfId="0" applyNumberFormat="1" applyFont="1" applyFill="1" applyBorder="1" applyAlignment="1">
      <alignment horizontal="center" vertical="center"/>
    </xf>
    <xf numFmtId="181" fontId="70" fillId="0" borderId="37" xfId="0" applyNumberFormat="1" applyFont="1" applyFill="1" applyBorder="1" applyAlignment="1">
      <alignment horizontal="center" vertical="center"/>
    </xf>
    <xf numFmtId="166" fontId="70" fillId="0" borderId="37" xfId="7" applyNumberFormat="1" applyFont="1" applyFill="1" applyBorder="1" applyAlignment="1">
      <alignment horizontal="center" vertical="center"/>
    </xf>
    <xf numFmtId="182" fontId="38" fillId="0" borderId="78" xfId="0" applyNumberFormat="1" applyFont="1" applyFill="1" applyBorder="1" applyAlignment="1">
      <alignment horizontal="center" vertical="center"/>
    </xf>
    <xf numFmtId="173" fontId="81" fillId="0" borderId="0" xfId="0" applyNumberFormat="1" applyFont="1" applyAlignment="1">
      <alignment vertical="center"/>
    </xf>
    <xf numFmtId="0" fontId="81" fillId="0" borderId="0" xfId="0" applyFont="1" applyAlignment="1">
      <alignment vertical="center"/>
    </xf>
    <xf numFmtId="9" fontId="81" fillId="0" borderId="0" xfId="0" applyNumberFormat="1" applyFont="1" applyAlignment="1">
      <alignment vertical="center"/>
    </xf>
    <xf numFmtId="168" fontId="81" fillId="0" borderId="5" xfId="0" applyNumberFormat="1" applyFont="1" applyBorder="1" applyAlignment="1">
      <alignment horizontal="center" vertical="center"/>
    </xf>
    <xf numFmtId="168" fontId="81" fillId="2" borderId="85" xfId="0" applyNumberFormat="1" applyFont="1" applyFill="1" applyBorder="1" applyAlignment="1">
      <alignment horizontal="center" vertical="center"/>
    </xf>
    <xf numFmtId="168" fontId="81" fillId="2" borderId="5" xfId="0" applyNumberFormat="1" applyFont="1" applyFill="1" applyBorder="1" applyAlignment="1">
      <alignment horizontal="center" vertical="center"/>
    </xf>
    <xf numFmtId="0" fontId="81" fillId="2" borderId="5" xfId="0" applyNumberFormat="1" applyFont="1" applyFill="1" applyBorder="1" applyAlignment="1">
      <alignment horizontal="center" vertical="center"/>
    </xf>
    <xf numFmtId="9" fontId="81" fillId="12" borderId="5" xfId="0" applyNumberFormat="1" applyFont="1" applyFill="1" applyBorder="1" applyAlignment="1">
      <alignment vertical="center"/>
    </xf>
    <xf numFmtId="167" fontId="81" fillId="2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168" fontId="40" fillId="2" borderId="5" xfId="0" applyNumberFormat="1" applyFont="1" applyFill="1" applyBorder="1" applyAlignment="1">
      <alignment horizontal="center" vertical="center"/>
    </xf>
    <xf numFmtId="0" fontId="36" fillId="18" borderId="37" xfId="0" applyFont="1" applyFill="1" applyBorder="1" applyAlignment="1">
      <alignment horizontal="center" vertical="center"/>
    </xf>
    <xf numFmtId="0" fontId="81" fillId="0" borderId="5" xfId="0" applyFont="1" applyFill="1" applyBorder="1" applyAlignment="1">
      <alignment horizontal="center" vertical="center"/>
    </xf>
    <xf numFmtId="182" fontId="81" fillId="0" borderId="78" xfId="0" applyNumberFormat="1" applyFont="1" applyFill="1" applyBorder="1" applyAlignment="1">
      <alignment horizontal="center" vertical="center"/>
    </xf>
    <xf numFmtId="0" fontId="81" fillId="0" borderId="78" xfId="0" applyFont="1" applyFill="1" applyBorder="1" applyAlignment="1">
      <alignment horizontal="center" vertical="center"/>
    </xf>
    <xf numFmtId="0" fontId="81" fillId="0" borderId="78" xfId="0" applyFont="1" applyFill="1" applyBorder="1" applyAlignment="1">
      <alignment horizontal="left" vertical="center"/>
    </xf>
    <xf numFmtId="0" fontId="81" fillId="0" borderId="85" xfId="0" applyFont="1" applyFill="1" applyBorder="1" applyAlignment="1">
      <alignment horizontal="center" vertical="center"/>
    </xf>
    <xf numFmtId="0" fontId="82" fillId="0" borderId="78" xfId="0" applyFont="1" applyFill="1" applyBorder="1" applyAlignment="1">
      <alignment vertical="center"/>
    </xf>
    <xf numFmtId="167" fontId="81" fillId="0" borderId="78" xfId="0" applyNumberFormat="1" applyFont="1" applyFill="1" applyBorder="1" applyAlignment="1">
      <alignment horizontal="center" vertical="center"/>
    </xf>
    <xf numFmtId="0" fontId="40" fillId="0" borderId="78" xfId="0" applyFont="1" applyFill="1" applyBorder="1" applyAlignment="1">
      <alignment horizontal="center" vertical="center"/>
    </xf>
    <xf numFmtId="175" fontId="81" fillId="2" borderId="5" xfId="0" applyNumberFormat="1" applyFont="1" applyFill="1" applyBorder="1" applyAlignment="1">
      <alignment horizontal="center" vertical="center"/>
    </xf>
    <xf numFmtId="175" fontId="40" fillId="2" borderId="78" xfId="0" applyNumberFormat="1" applyFont="1" applyFill="1" applyBorder="1" applyAlignment="1">
      <alignment horizontal="center" vertical="center"/>
    </xf>
    <xf numFmtId="175" fontId="81" fillId="2" borderId="78" xfId="0" applyNumberFormat="1" applyFont="1" applyFill="1" applyBorder="1" applyAlignment="1">
      <alignment horizontal="center" vertical="center"/>
    </xf>
    <xf numFmtId="0" fontId="81" fillId="2" borderId="78" xfId="0" applyFont="1" applyFill="1" applyBorder="1" applyAlignment="1">
      <alignment horizontal="center" vertical="center"/>
    </xf>
    <xf numFmtId="0" fontId="81" fillId="2" borderId="5" xfId="0" applyFont="1" applyFill="1" applyBorder="1" applyAlignment="1">
      <alignment horizontal="center" vertical="center"/>
    </xf>
    <xf numFmtId="0" fontId="81" fillId="2" borderId="78" xfId="0" applyFont="1" applyFill="1" applyBorder="1" applyAlignment="1">
      <alignment horizontal="center" vertical="center" wrapText="1"/>
    </xf>
    <xf numFmtId="0" fontId="40" fillId="2" borderId="78" xfId="0" applyFont="1" applyFill="1" applyBorder="1" applyAlignment="1">
      <alignment horizontal="center" vertical="center"/>
    </xf>
    <xf numFmtId="0" fontId="83" fillId="2" borderId="0" xfId="0" applyFont="1" applyFill="1" applyAlignment="1">
      <alignment vertical="center"/>
    </xf>
    <xf numFmtId="0" fontId="44" fillId="0" borderId="85" xfId="0" applyFont="1" applyFill="1" applyBorder="1" applyAlignment="1">
      <alignment vertical="center"/>
    </xf>
    <xf numFmtId="3" fontId="19" fillId="2" borderId="9" xfId="0" applyNumberFormat="1" applyFont="1" applyFill="1" applyBorder="1" applyAlignment="1">
      <alignment vertical="center"/>
    </xf>
    <xf numFmtId="170" fontId="19" fillId="2" borderId="9" xfId="0" applyNumberFormat="1" applyFont="1" applyFill="1" applyBorder="1" applyAlignment="1">
      <alignment vertical="center"/>
    </xf>
    <xf numFmtId="0" fontId="44" fillId="0" borderId="78" xfId="0" applyFont="1" applyFill="1" applyBorder="1" applyAlignment="1">
      <alignment vertical="center" wrapText="1"/>
    </xf>
    <xf numFmtId="0" fontId="36" fillId="18" borderId="85" xfId="0" applyFont="1" applyFill="1" applyBorder="1" applyAlignment="1" applyProtection="1">
      <alignment horizontal="center" vertical="center"/>
      <protection locked="0"/>
    </xf>
    <xf numFmtId="172" fontId="19" fillId="0" borderId="9" xfId="0" applyNumberFormat="1" applyFont="1" applyFill="1" applyBorder="1" applyAlignment="1">
      <alignment horizontal="right" vertical="center"/>
    </xf>
    <xf numFmtId="172" fontId="20" fillId="2" borderId="9" xfId="0" applyNumberFormat="1" applyFont="1" applyFill="1" applyBorder="1" applyAlignment="1">
      <alignment vertical="center"/>
    </xf>
    <xf numFmtId="3" fontId="19" fillId="2" borderId="9" xfId="0" applyNumberFormat="1" applyFont="1" applyFill="1" applyBorder="1" applyAlignment="1">
      <alignment horizontal="right" vertical="center"/>
    </xf>
    <xf numFmtId="0" fontId="67" fillId="28" borderId="37" xfId="7" applyBorder="1" applyAlignment="1">
      <alignment horizontal="center" vertical="center"/>
    </xf>
    <xf numFmtId="10" fontId="67" fillId="28" borderId="37" xfId="7" applyNumberFormat="1" applyBorder="1" applyAlignment="1">
      <alignment horizontal="center" vertical="center"/>
    </xf>
    <xf numFmtId="181" fontId="67" fillId="28" borderId="37" xfId="7" applyNumberFormat="1" applyBorder="1" applyAlignment="1">
      <alignment horizontal="center" vertical="center"/>
    </xf>
    <xf numFmtId="165" fontId="84" fillId="0" borderId="0" xfId="2" applyFont="1" applyAlignment="1">
      <alignment horizontal="center" vertical="center"/>
    </xf>
    <xf numFmtId="0" fontId="36" fillId="29" borderId="78" xfId="0" applyFont="1" applyFill="1" applyBorder="1" applyAlignment="1">
      <alignment horizontal="center" vertical="center"/>
    </xf>
    <xf numFmtId="175" fontId="36" fillId="0" borderId="85" xfId="0" applyNumberFormat="1" applyFont="1" applyFill="1" applyBorder="1" applyAlignment="1" applyProtection="1">
      <alignment horizontal="center" vertical="center"/>
      <protection locked="0"/>
    </xf>
    <xf numFmtId="0" fontId="39" fillId="30" borderId="37" xfId="0" applyFont="1" applyFill="1" applyBorder="1" applyAlignment="1">
      <alignment horizontal="center" vertical="center"/>
    </xf>
    <xf numFmtId="0" fontId="81" fillId="30" borderId="5" xfId="0" applyFont="1" applyFill="1" applyBorder="1" applyAlignment="1">
      <alignment horizontal="center" vertical="center"/>
    </xf>
    <xf numFmtId="0" fontId="39" fillId="30" borderId="78" xfId="0" applyFont="1" applyFill="1" applyBorder="1" applyAlignment="1">
      <alignment horizontal="center" vertical="center"/>
    </xf>
    <xf numFmtId="0" fontId="39" fillId="31" borderId="78" xfId="0" applyFont="1" applyFill="1" applyBorder="1" applyAlignment="1">
      <alignment horizontal="center" vertical="center"/>
    </xf>
    <xf numFmtId="172" fontId="16" fillId="18" borderId="9" xfId="0" applyNumberFormat="1" applyFont="1" applyFill="1" applyBorder="1" applyAlignment="1">
      <alignment vertical="center"/>
    </xf>
    <xf numFmtId="2" fontId="16" fillId="18" borderId="9" xfId="0" applyNumberFormat="1" applyFont="1" applyFill="1" applyBorder="1" applyAlignment="1">
      <alignment vertical="center"/>
    </xf>
    <xf numFmtId="3" fontId="16" fillId="18" borderId="9" xfId="0" applyNumberFormat="1" applyFont="1" applyFill="1" applyBorder="1" applyAlignment="1">
      <alignment horizontal="center" vertical="center"/>
    </xf>
    <xf numFmtId="3" fontId="16" fillId="18" borderId="9" xfId="0" applyNumberFormat="1" applyFont="1" applyFill="1" applyBorder="1" applyAlignment="1">
      <alignment vertical="center"/>
    </xf>
    <xf numFmtId="170" fontId="16" fillId="18" borderId="9" xfId="0" applyNumberFormat="1" applyFont="1" applyFill="1" applyBorder="1" applyAlignment="1">
      <alignment vertical="center"/>
    </xf>
    <xf numFmtId="3" fontId="16" fillId="2" borderId="15" xfId="0" applyNumberFormat="1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172" fontId="19" fillId="2" borderId="9" xfId="0" applyNumberFormat="1" applyFont="1" applyFill="1" applyBorder="1" applyAlignment="1">
      <alignment vertical="center"/>
    </xf>
    <xf numFmtId="0" fontId="16" fillId="18" borderId="9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3" fontId="16" fillId="2" borderId="18" xfId="0" applyNumberFormat="1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39" fillId="32" borderId="85" xfId="0" applyFont="1" applyFill="1" applyBorder="1" applyAlignment="1" applyProtection="1">
      <alignment horizontal="center" vertical="center"/>
      <protection locked="0"/>
    </xf>
    <xf numFmtId="1" fontId="38" fillId="2" borderId="78" xfId="0" quotePrefix="1" applyNumberFormat="1" applyFont="1" applyFill="1" applyBorder="1" applyAlignment="1">
      <alignment horizontal="center" vertical="center"/>
    </xf>
    <xf numFmtId="178" fontId="16" fillId="0" borderId="9" xfId="0" applyNumberFormat="1" applyFont="1" applyFill="1" applyBorder="1" applyAlignment="1">
      <alignment horizontal="right" vertical="center"/>
    </xf>
    <xf numFmtId="172" fontId="76" fillId="0" borderId="9" xfId="0" applyNumberFormat="1" applyFont="1" applyFill="1" applyBorder="1" applyAlignment="1">
      <alignment vertical="center"/>
    </xf>
    <xf numFmtId="0" fontId="9" fillId="18" borderId="0" xfId="0" applyFont="1" applyFill="1" applyAlignment="1">
      <alignment vertical="center"/>
    </xf>
    <xf numFmtId="181" fontId="85" fillId="33" borderId="0" xfId="0" applyNumberFormat="1" applyFont="1" applyFill="1" applyAlignment="1">
      <alignment horizontal="center" vertical="center"/>
    </xf>
    <xf numFmtId="175" fontId="36" fillId="24" borderId="48" xfId="0" applyNumberFormat="1" applyFont="1" applyFill="1" applyBorder="1" applyAlignment="1">
      <alignment horizontal="center" vertical="center" wrapText="1"/>
    </xf>
    <xf numFmtId="175" fontId="36" fillId="24" borderId="62" xfId="0" applyNumberFormat="1" applyFont="1" applyFill="1" applyBorder="1" applyAlignment="1">
      <alignment horizontal="center" vertical="center" wrapText="1"/>
    </xf>
    <xf numFmtId="175" fontId="36" fillId="24" borderId="49" xfId="0" applyNumberFormat="1" applyFont="1" applyFill="1" applyBorder="1" applyAlignment="1">
      <alignment horizontal="center" vertical="center"/>
    </xf>
    <xf numFmtId="175" fontId="36" fillId="24" borderId="42" xfId="0" applyNumberFormat="1" applyFont="1" applyFill="1" applyBorder="1" applyAlignment="1">
      <alignment horizontal="center" vertical="center"/>
    </xf>
    <xf numFmtId="0" fontId="36" fillId="24" borderId="30" xfId="0" applyFont="1" applyFill="1" applyBorder="1" applyAlignment="1">
      <alignment horizontal="center" vertical="center"/>
    </xf>
    <xf numFmtId="0" fontId="36" fillId="24" borderId="65" xfId="0" applyFont="1" applyFill="1" applyBorder="1" applyAlignment="1">
      <alignment horizontal="center" vertical="center"/>
    </xf>
    <xf numFmtId="0" fontId="36" fillId="24" borderId="63" xfId="0" applyFont="1" applyFill="1" applyBorder="1" applyAlignment="1">
      <alignment horizontal="center" vertical="center"/>
    </xf>
    <xf numFmtId="0" fontId="36" fillId="24" borderId="64" xfId="0" applyFont="1" applyFill="1" applyBorder="1" applyAlignment="1">
      <alignment horizontal="center" vertical="center"/>
    </xf>
    <xf numFmtId="0" fontId="36" fillId="24" borderId="66" xfId="0" applyFont="1" applyFill="1" applyBorder="1" applyAlignment="1">
      <alignment horizontal="center" vertical="center"/>
    </xf>
    <xf numFmtId="0" fontId="36" fillId="24" borderId="67" xfId="0" applyFont="1" applyFill="1" applyBorder="1" applyAlignment="1">
      <alignment horizontal="center" vertical="center"/>
    </xf>
    <xf numFmtId="3" fontId="36" fillId="24" borderId="63" xfId="0" applyNumberFormat="1" applyFont="1" applyFill="1" applyBorder="1" applyAlignment="1">
      <alignment horizontal="center" vertical="center"/>
    </xf>
    <xf numFmtId="3" fontId="36" fillId="24" borderId="64" xfId="0" applyNumberFormat="1" applyFont="1" applyFill="1" applyBorder="1" applyAlignment="1">
      <alignment horizontal="center" vertical="center"/>
    </xf>
    <xf numFmtId="9" fontId="40" fillId="24" borderId="49" xfId="0" applyNumberFormat="1" applyFont="1" applyFill="1" applyBorder="1" applyAlignment="1">
      <alignment horizontal="center" vertical="center"/>
    </xf>
    <xf numFmtId="9" fontId="40" fillId="24" borderId="42" xfId="0" applyNumberFormat="1" applyFont="1" applyFill="1" applyBorder="1" applyAlignment="1">
      <alignment horizontal="center" vertical="center"/>
    </xf>
    <xf numFmtId="172" fontId="36" fillId="24" borderId="80" xfId="0" applyNumberFormat="1" applyFont="1" applyFill="1" applyBorder="1" applyAlignment="1">
      <alignment horizontal="center" vertical="center"/>
    </xf>
    <xf numFmtId="172" fontId="36" fillId="24" borderId="42" xfId="0" applyNumberFormat="1" applyFont="1" applyFill="1" applyBorder="1" applyAlignment="1">
      <alignment horizontal="center" vertical="center"/>
    </xf>
    <xf numFmtId="0" fontId="36" fillId="24" borderId="79" xfId="0" applyFont="1" applyFill="1" applyBorder="1" applyAlignment="1">
      <alignment horizontal="center" vertical="center"/>
    </xf>
    <xf numFmtId="0" fontId="36" fillId="24" borderId="5" xfId="0" applyFont="1" applyFill="1" applyBorder="1" applyAlignment="1">
      <alignment horizontal="center" vertical="center"/>
    </xf>
    <xf numFmtId="0" fontId="36" fillId="24" borderId="49" xfId="0" applyFont="1" applyFill="1" applyBorder="1" applyAlignment="1">
      <alignment horizontal="center" vertical="center"/>
    </xf>
    <xf numFmtId="0" fontId="36" fillId="24" borderId="42" xfId="0" applyFont="1" applyFill="1" applyBorder="1" applyAlignment="1">
      <alignment horizontal="center" vertical="center"/>
    </xf>
    <xf numFmtId="0" fontId="36" fillId="24" borderId="6" xfId="0" applyFont="1" applyFill="1" applyBorder="1" applyAlignment="1">
      <alignment horizontal="center" vertical="center"/>
    </xf>
    <xf numFmtId="175" fontId="40" fillId="24" borderId="49" xfId="0" applyNumberFormat="1" applyFont="1" applyFill="1" applyBorder="1" applyAlignment="1">
      <alignment horizontal="center" vertical="center" wrapText="1"/>
    </xf>
    <xf numFmtId="175" fontId="40" fillId="24" borderId="42" xfId="0" applyNumberFormat="1" applyFont="1" applyFill="1" applyBorder="1" applyAlignment="1">
      <alignment horizontal="center" vertical="center" wrapText="1"/>
    </xf>
    <xf numFmtId="0" fontId="36" fillId="24" borderId="49" xfId="0" applyFont="1" applyFill="1" applyBorder="1" applyAlignment="1">
      <alignment horizontal="center" vertical="center" wrapText="1"/>
    </xf>
    <xf numFmtId="0" fontId="36" fillId="24" borderId="42" xfId="0" applyFont="1" applyFill="1" applyBorder="1" applyAlignment="1">
      <alignment horizontal="center" vertical="center" wrapText="1"/>
    </xf>
    <xf numFmtId="183" fontId="36" fillId="24" borderId="30" xfId="0" applyNumberFormat="1" applyFont="1" applyFill="1" applyBorder="1" applyAlignment="1">
      <alignment horizontal="center" vertical="center"/>
    </xf>
    <xf numFmtId="183" fontId="36" fillId="24" borderId="65" xfId="0" applyNumberFormat="1" applyFont="1" applyFill="1" applyBorder="1" applyAlignment="1">
      <alignment horizontal="center" vertical="center"/>
    </xf>
    <xf numFmtId="0" fontId="36" fillId="24" borderId="85" xfId="0" applyFont="1" applyFill="1" applyBorder="1" applyAlignment="1">
      <alignment horizontal="center" vertical="center"/>
    </xf>
    <xf numFmtId="9" fontId="36" fillId="24" borderId="49" xfId="0" applyNumberFormat="1" applyFont="1" applyFill="1" applyBorder="1" applyAlignment="1">
      <alignment horizontal="center" vertical="center"/>
    </xf>
    <xf numFmtId="9" fontId="36" fillId="24" borderId="42" xfId="0" applyNumberFormat="1" applyFont="1" applyFill="1" applyBorder="1" applyAlignment="1">
      <alignment horizontal="center" vertical="center"/>
    </xf>
    <xf numFmtId="0" fontId="36" fillId="24" borderId="33" xfId="0" applyFont="1" applyFill="1" applyBorder="1" applyAlignment="1">
      <alignment horizontal="center" vertical="center"/>
    </xf>
    <xf numFmtId="0" fontId="36" fillId="24" borderId="61" xfId="0" applyFont="1" applyFill="1" applyBorder="1" applyAlignment="1">
      <alignment horizontal="center" vertical="center"/>
    </xf>
    <xf numFmtId="0" fontId="36" fillId="24" borderId="37" xfId="0" applyFont="1" applyFill="1" applyBorder="1" applyAlignment="1">
      <alignment horizontal="center" vertical="center"/>
    </xf>
    <xf numFmtId="0" fontId="36" fillId="24" borderId="81" xfId="0" applyFont="1" applyFill="1" applyBorder="1" applyAlignment="1">
      <alignment horizontal="center" vertical="center"/>
    </xf>
    <xf numFmtId="0" fontId="36" fillId="24" borderId="89" xfId="0" applyFont="1" applyFill="1" applyBorder="1" applyAlignment="1">
      <alignment horizontal="center" vertical="center"/>
    </xf>
    <xf numFmtId="0" fontId="36" fillId="24" borderId="88" xfId="0" applyFont="1" applyFill="1" applyBorder="1" applyAlignment="1">
      <alignment horizontal="center" vertical="center"/>
    </xf>
    <xf numFmtId="0" fontId="36" fillId="24" borderId="87" xfId="0" applyFont="1" applyFill="1" applyBorder="1" applyAlignment="1">
      <alignment horizontal="center" vertical="center"/>
    </xf>
    <xf numFmtId="0" fontId="36" fillId="24" borderId="91" xfId="0" applyFont="1" applyFill="1" applyBorder="1" applyAlignment="1">
      <alignment horizontal="center" vertical="center"/>
    </xf>
    <xf numFmtId="0" fontId="36" fillId="24" borderId="80" xfId="0" applyFont="1" applyFill="1" applyBorder="1" applyAlignment="1">
      <alignment horizontal="center" vertical="center"/>
    </xf>
    <xf numFmtId="0" fontId="36" fillId="24" borderId="90" xfId="0" applyFont="1" applyFill="1" applyBorder="1" applyAlignment="1">
      <alignment horizontal="center" vertical="center"/>
    </xf>
    <xf numFmtId="3" fontId="36" fillId="24" borderId="87" xfId="0" applyNumberFormat="1" applyFont="1" applyFill="1" applyBorder="1" applyAlignment="1">
      <alignment horizontal="center" vertical="center"/>
    </xf>
    <xf numFmtId="9" fontId="36" fillId="24" borderId="92" xfId="0" applyNumberFormat="1" applyFont="1" applyFill="1" applyBorder="1" applyAlignment="1">
      <alignment horizontal="center" vertical="center"/>
    </xf>
    <xf numFmtId="0" fontId="36" fillId="24" borderId="93" xfId="0" applyFont="1" applyFill="1" applyBorder="1" applyAlignment="1">
      <alignment horizontal="center" vertical="center"/>
    </xf>
    <xf numFmtId="0" fontId="36" fillId="24" borderId="94" xfId="0" applyFont="1" applyFill="1" applyBorder="1" applyAlignment="1">
      <alignment horizontal="center" vertical="center"/>
    </xf>
    <xf numFmtId="0" fontId="36" fillId="24" borderId="95" xfId="0" applyFont="1" applyFill="1" applyBorder="1" applyAlignment="1">
      <alignment horizontal="center" vertical="center"/>
    </xf>
    <xf numFmtId="175" fontId="36" fillId="24" borderId="92" xfId="0" applyNumberFormat="1" applyFont="1" applyFill="1" applyBorder="1" applyAlignment="1">
      <alignment horizontal="center" vertical="center"/>
    </xf>
    <xf numFmtId="3" fontId="36" fillId="24" borderId="49" xfId="0" applyNumberFormat="1" applyFont="1" applyFill="1" applyBorder="1" applyAlignment="1">
      <alignment horizontal="center" vertical="center"/>
    </xf>
    <xf numFmtId="3" fontId="36" fillId="24" borderId="42" xfId="0" applyNumberFormat="1" applyFont="1" applyFill="1" applyBorder="1" applyAlignment="1">
      <alignment horizontal="center" vertical="center"/>
    </xf>
    <xf numFmtId="175" fontId="36" fillId="24" borderId="80" xfId="0" applyNumberFormat="1" applyFont="1" applyFill="1" applyBorder="1" applyAlignment="1">
      <alignment horizontal="center" vertical="center" wrapText="1"/>
    </xf>
    <xf numFmtId="175" fontId="36" fillId="24" borderId="42" xfId="0" applyNumberFormat="1" applyFont="1" applyFill="1" applyBorder="1" applyAlignment="1">
      <alignment horizontal="center" vertical="center" wrapText="1"/>
    </xf>
    <xf numFmtId="172" fontId="36" fillId="24" borderId="68" xfId="0" applyNumberFormat="1" applyFont="1" applyFill="1" applyBorder="1" applyAlignment="1">
      <alignment horizontal="center" vertical="center"/>
    </xf>
    <xf numFmtId="172" fontId="36" fillId="24" borderId="69" xfId="0" applyNumberFormat="1" applyFont="1" applyFill="1" applyBorder="1" applyAlignment="1">
      <alignment horizontal="center" vertical="center"/>
    </xf>
    <xf numFmtId="0" fontId="36" fillId="26" borderId="49" xfId="0" applyFont="1" applyFill="1" applyBorder="1" applyAlignment="1">
      <alignment horizontal="center" vertical="center"/>
    </xf>
    <xf numFmtId="0" fontId="36" fillId="26" borderId="42" xfId="0" applyFont="1" applyFill="1" applyBorder="1" applyAlignment="1">
      <alignment horizontal="center" vertical="center"/>
    </xf>
    <xf numFmtId="0" fontId="36" fillId="23" borderId="49" xfId="0" applyFont="1" applyFill="1" applyBorder="1" applyAlignment="1">
      <alignment horizontal="center" vertical="center"/>
    </xf>
    <xf numFmtId="0" fontId="36" fillId="23" borderId="42" xfId="0" applyFont="1" applyFill="1" applyBorder="1" applyAlignment="1">
      <alignment horizontal="center" vertical="center"/>
    </xf>
    <xf numFmtId="0" fontId="36" fillId="23" borderId="6" xfId="0" applyFont="1" applyFill="1" applyBorder="1" applyAlignment="1">
      <alignment horizontal="center" vertical="center"/>
    </xf>
    <xf numFmtId="0" fontId="36" fillId="23" borderId="5" xfId="0" applyFont="1" applyFill="1" applyBorder="1" applyAlignment="1">
      <alignment horizontal="center" vertical="center"/>
    </xf>
    <xf numFmtId="175" fontId="36" fillId="23" borderId="49" xfId="0" applyNumberFormat="1" applyFont="1" applyFill="1" applyBorder="1" applyAlignment="1">
      <alignment horizontal="center" vertical="center"/>
    </xf>
    <xf numFmtId="175" fontId="36" fillId="23" borderId="42" xfId="0" applyNumberFormat="1" applyFont="1" applyFill="1" applyBorder="1" applyAlignment="1">
      <alignment horizontal="center" vertical="center"/>
    </xf>
    <xf numFmtId="175" fontId="36" fillId="23" borderId="48" xfId="0" applyNumberFormat="1" applyFont="1" applyFill="1" applyBorder="1" applyAlignment="1">
      <alignment horizontal="center" vertical="center" wrapText="1"/>
    </xf>
    <xf numFmtId="175" fontId="36" fillId="23" borderId="62" xfId="0" applyNumberFormat="1" applyFont="1" applyFill="1" applyBorder="1" applyAlignment="1">
      <alignment horizontal="center" vertical="center" wrapText="1"/>
    </xf>
    <xf numFmtId="175" fontId="40" fillId="23" borderId="49" xfId="0" applyNumberFormat="1" applyFont="1" applyFill="1" applyBorder="1" applyAlignment="1">
      <alignment horizontal="center" vertical="center" wrapText="1"/>
    </xf>
    <xf numFmtId="175" fontId="40" fillId="23" borderId="42" xfId="0" applyNumberFormat="1" applyFont="1" applyFill="1" applyBorder="1" applyAlignment="1">
      <alignment horizontal="center" vertical="center" wrapText="1"/>
    </xf>
    <xf numFmtId="0" fontId="36" fillId="23" borderId="49" xfId="0" applyFont="1" applyFill="1" applyBorder="1" applyAlignment="1">
      <alignment horizontal="center" vertical="center" wrapText="1"/>
    </xf>
    <xf numFmtId="0" fontId="36" fillId="23" borderId="42" xfId="0" applyFont="1" applyFill="1" applyBorder="1" applyAlignment="1">
      <alignment horizontal="center" vertical="center" wrapText="1"/>
    </xf>
    <xf numFmtId="172" fontId="36" fillId="23" borderId="68" xfId="0" applyNumberFormat="1" applyFont="1" applyFill="1" applyBorder="1" applyAlignment="1">
      <alignment horizontal="center" vertical="center"/>
    </xf>
    <xf numFmtId="172" fontId="36" fillId="23" borderId="69" xfId="0" applyNumberFormat="1" applyFont="1" applyFill="1" applyBorder="1" applyAlignment="1">
      <alignment horizontal="center" vertical="center"/>
    </xf>
    <xf numFmtId="0" fontId="36" fillId="23" borderId="66" xfId="0" applyFont="1" applyFill="1" applyBorder="1" applyAlignment="1">
      <alignment horizontal="center" vertical="center"/>
    </xf>
    <xf numFmtId="0" fontId="36" fillId="23" borderId="67" xfId="0" applyFont="1" applyFill="1" applyBorder="1" applyAlignment="1">
      <alignment horizontal="center" vertical="center"/>
    </xf>
    <xf numFmtId="0" fontId="36" fillId="23" borderId="30" xfId="0" applyFont="1" applyFill="1" applyBorder="1" applyAlignment="1">
      <alignment horizontal="center" vertical="center"/>
    </xf>
    <xf numFmtId="0" fontId="36" fillId="23" borderId="65" xfId="0" applyFont="1" applyFill="1" applyBorder="1" applyAlignment="1">
      <alignment horizontal="center" vertical="center"/>
    </xf>
    <xf numFmtId="0" fontId="36" fillId="23" borderId="63" xfId="0" applyFont="1" applyFill="1" applyBorder="1" applyAlignment="1">
      <alignment horizontal="center" vertical="center"/>
    </xf>
    <xf numFmtId="0" fontId="36" fillId="23" borderId="64" xfId="0" applyFont="1" applyFill="1" applyBorder="1" applyAlignment="1">
      <alignment horizontal="center" vertical="center"/>
    </xf>
    <xf numFmtId="3" fontId="36" fillId="23" borderId="63" xfId="0" applyNumberFormat="1" applyFont="1" applyFill="1" applyBorder="1" applyAlignment="1">
      <alignment horizontal="center" vertical="center"/>
    </xf>
    <xf numFmtId="3" fontId="36" fillId="23" borderId="64" xfId="0" applyNumberFormat="1" applyFont="1" applyFill="1" applyBorder="1" applyAlignment="1">
      <alignment horizontal="center" vertical="center"/>
    </xf>
    <xf numFmtId="9" fontId="36" fillId="23" borderId="49" xfId="0" applyNumberFormat="1" applyFont="1" applyFill="1" applyBorder="1" applyAlignment="1">
      <alignment horizontal="center" vertical="center"/>
    </xf>
    <xf numFmtId="9" fontId="36" fillId="23" borderId="42" xfId="0" applyNumberFormat="1" applyFont="1" applyFill="1" applyBorder="1" applyAlignment="1">
      <alignment horizontal="center" vertical="center"/>
    </xf>
    <xf numFmtId="0" fontId="36" fillId="23" borderId="85" xfId="0" applyFont="1" applyFill="1" applyBorder="1" applyAlignment="1">
      <alignment horizontal="center" vertical="center"/>
    </xf>
    <xf numFmtId="0" fontId="36" fillId="26" borderId="81" xfId="0" applyFont="1" applyFill="1" applyBorder="1" applyAlignment="1">
      <alignment horizontal="center" vertical="center"/>
    </xf>
    <xf numFmtId="0" fontId="36" fillId="26" borderId="5" xfId="0" applyFont="1" applyFill="1" applyBorder="1" applyAlignment="1">
      <alignment horizontal="center" vertical="center"/>
    </xf>
    <xf numFmtId="175" fontId="36" fillId="26" borderId="49" xfId="0" applyNumberFormat="1" applyFont="1" applyFill="1" applyBorder="1" applyAlignment="1">
      <alignment horizontal="center" vertical="center"/>
    </xf>
    <xf numFmtId="175" fontId="36" fillId="26" borderId="42" xfId="0" applyNumberFormat="1" applyFont="1" applyFill="1" applyBorder="1" applyAlignment="1">
      <alignment horizontal="center" vertical="center"/>
    </xf>
    <xf numFmtId="175" fontId="36" fillId="26" borderId="48" xfId="0" applyNumberFormat="1" applyFont="1" applyFill="1" applyBorder="1" applyAlignment="1">
      <alignment horizontal="center" vertical="center" wrapText="1"/>
    </xf>
    <xf numFmtId="175" fontId="36" fillId="26" borderId="62" xfId="0" applyNumberFormat="1" applyFont="1" applyFill="1" applyBorder="1" applyAlignment="1">
      <alignment horizontal="center" vertical="center" wrapText="1"/>
    </xf>
    <xf numFmtId="175" fontId="40" fillId="26" borderId="49" xfId="0" applyNumberFormat="1" applyFont="1" applyFill="1" applyBorder="1" applyAlignment="1">
      <alignment horizontal="center" vertical="center" wrapText="1"/>
    </xf>
    <xf numFmtId="175" fontId="40" fillId="26" borderId="42" xfId="0" applyNumberFormat="1" applyFont="1" applyFill="1" applyBorder="1" applyAlignment="1">
      <alignment horizontal="center" vertical="center" wrapText="1"/>
    </xf>
    <xf numFmtId="0" fontId="36" fillId="26" borderId="49" xfId="0" applyFont="1" applyFill="1" applyBorder="1" applyAlignment="1">
      <alignment horizontal="center" vertical="center" wrapText="1"/>
    </xf>
    <xf numFmtId="0" fontId="36" fillId="26" borderId="42" xfId="0" applyFont="1" applyFill="1" applyBorder="1" applyAlignment="1">
      <alignment horizontal="center" vertical="center" wrapText="1"/>
    </xf>
    <xf numFmtId="0" fontId="36" fillId="26" borderId="30" xfId="0" applyFont="1" applyFill="1" applyBorder="1" applyAlignment="1">
      <alignment horizontal="center" vertical="center"/>
    </xf>
    <xf numFmtId="0" fontId="36" fillId="26" borderId="65" xfId="0" applyFont="1" applyFill="1" applyBorder="1" applyAlignment="1">
      <alignment horizontal="center" vertical="center"/>
    </xf>
    <xf numFmtId="0" fontId="36" fillId="26" borderId="63" xfId="0" applyFont="1" applyFill="1" applyBorder="1" applyAlignment="1">
      <alignment horizontal="center" vertical="center"/>
    </xf>
    <xf numFmtId="0" fontId="36" fillId="26" borderId="64" xfId="0" applyFont="1" applyFill="1" applyBorder="1" applyAlignment="1">
      <alignment horizontal="center" vertical="center"/>
    </xf>
    <xf numFmtId="0" fontId="36" fillId="26" borderId="66" xfId="0" applyFont="1" applyFill="1" applyBorder="1" applyAlignment="1">
      <alignment horizontal="center" vertical="center"/>
    </xf>
    <xf numFmtId="0" fontId="36" fillId="26" borderId="67" xfId="0" applyFont="1" applyFill="1" applyBorder="1" applyAlignment="1">
      <alignment horizontal="center" vertical="center"/>
    </xf>
    <xf numFmtId="3" fontId="36" fillId="26" borderId="63" xfId="0" applyNumberFormat="1" applyFont="1" applyFill="1" applyBorder="1" applyAlignment="1">
      <alignment horizontal="center" vertical="center"/>
    </xf>
    <xf numFmtId="3" fontId="36" fillId="26" borderId="64" xfId="0" applyNumberFormat="1" applyFont="1" applyFill="1" applyBorder="1" applyAlignment="1">
      <alignment horizontal="center" vertical="center"/>
    </xf>
    <xf numFmtId="9" fontId="36" fillId="26" borderId="49" xfId="0" applyNumberFormat="1" applyFont="1" applyFill="1" applyBorder="1" applyAlignment="1">
      <alignment horizontal="center" vertical="center"/>
    </xf>
    <xf numFmtId="9" fontId="36" fillId="26" borderId="42" xfId="0" applyNumberFormat="1" applyFont="1" applyFill="1" applyBorder="1" applyAlignment="1">
      <alignment horizontal="center" vertical="center"/>
    </xf>
    <xf numFmtId="172" fontId="36" fillId="26" borderId="80" xfId="0" applyNumberFormat="1" applyFont="1" applyFill="1" applyBorder="1" applyAlignment="1">
      <alignment horizontal="center" vertical="center"/>
    </xf>
    <xf numFmtId="172" fontId="36" fillId="26" borderId="42" xfId="0" applyNumberFormat="1" applyFont="1" applyFill="1" applyBorder="1" applyAlignment="1">
      <alignment horizontal="center" vertical="center"/>
    </xf>
    <xf numFmtId="0" fontId="36" fillId="26" borderId="85" xfId="0" applyFont="1" applyFill="1" applyBorder="1" applyAlignment="1">
      <alignment horizontal="center" vertical="center" wrapText="1"/>
    </xf>
    <xf numFmtId="0" fontId="5" fillId="13" borderId="38" xfId="0" applyFont="1" applyFill="1" applyBorder="1" applyAlignment="1">
      <alignment horizontal="center" vertical="center"/>
    </xf>
    <xf numFmtId="0" fontId="5" fillId="13" borderId="50" xfId="0" applyFont="1" applyFill="1" applyBorder="1" applyAlignment="1">
      <alignment horizontal="center" vertical="center"/>
    </xf>
    <xf numFmtId="0" fontId="5" fillId="13" borderId="39" xfId="0" applyFont="1" applyFill="1" applyBorder="1" applyAlignment="1">
      <alignment horizontal="center" vertical="center"/>
    </xf>
    <xf numFmtId="0" fontId="14" fillId="13" borderId="84" xfId="0" applyFont="1" applyFill="1" applyBorder="1" applyAlignment="1">
      <alignment horizontal="center" vertical="center" wrapText="1"/>
    </xf>
    <xf numFmtId="0" fontId="14" fillId="13" borderId="43" xfId="0" applyFont="1" applyFill="1" applyBorder="1" applyAlignment="1">
      <alignment horizontal="center" vertical="center" wrapText="1"/>
    </xf>
    <xf numFmtId="0" fontId="14" fillId="13" borderId="84" xfId="0" applyFont="1" applyFill="1" applyBorder="1" applyAlignment="1">
      <alignment horizontal="center" vertical="center"/>
    </xf>
    <xf numFmtId="0" fontId="14" fillId="13" borderId="43" xfId="0" applyFont="1" applyFill="1" applyBorder="1" applyAlignment="1">
      <alignment horizontal="center" vertical="center"/>
    </xf>
    <xf numFmtId="171" fontId="16" fillId="13" borderId="84" xfId="0" applyNumberFormat="1" applyFont="1" applyFill="1" applyBorder="1" applyAlignment="1">
      <alignment horizontal="center" vertical="center"/>
    </xf>
    <xf numFmtId="171" fontId="16" fillId="13" borderId="43" xfId="0" applyNumberFormat="1" applyFont="1" applyFill="1" applyBorder="1" applyAlignment="1">
      <alignment horizontal="center" vertical="center"/>
    </xf>
    <xf numFmtId="10" fontId="16" fillId="13" borderId="84" xfId="0" applyNumberFormat="1" applyFont="1" applyFill="1" applyBorder="1" applyAlignment="1">
      <alignment horizontal="center" vertical="center"/>
    </xf>
    <xf numFmtId="10" fontId="16" fillId="13" borderId="43" xfId="0" applyNumberFormat="1" applyFont="1" applyFill="1" applyBorder="1" applyAlignment="1">
      <alignment horizontal="center" vertical="center"/>
    </xf>
    <xf numFmtId="0" fontId="5" fillId="13" borderId="37" xfId="0" applyFont="1" applyFill="1" applyBorder="1" applyAlignment="1">
      <alignment horizontal="center" vertical="center"/>
    </xf>
    <xf numFmtId="0" fontId="14" fillId="13" borderId="13" xfId="0" applyFont="1" applyFill="1" applyBorder="1" applyAlignment="1">
      <alignment horizontal="center" vertical="center" wrapText="1"/>
    </xf>
    <xf numFmtId="0" fontId="14" fillId="13" borderId="13" xfId="0" applyFont="1" applyFill="1" applyBorder="1" applyAlignment="1">
      <alignment horizontal="center" vertical="center"/>
    </xf>
    <xf numFmtId="0" fontId="5" fillId="23" borderId="37" xfId="0" applyFont="1" applyFill="1" applyBorder="1" applyAlignment="1">
      <alignment horizontal="center" vertical="center"/>
    </xf>
    <xf numFmtId="0" fontId="5" fillId="23" borderId="13" xfId="0" applyFont="1" applyFill="1" applyBorder="1" applyAlignment="1">
      <alignment horizontal="center" vertical="center" wrapText="1"/>
    </xf>
    <xf numFmtId="0" fontId="14" fillId="23" borderId="43" xfId="0" applyFont="1" applyFill="1" applyBorder="1" applyAlignment="1">
      <alignment horizontal="center" vertical="center" wrapText="1"/>
    </xf>
    <xf numFmtId="0" fontId="14" fillId="23" borderId="13" xfId="0" applyFont="1" applyFill="1" applyBorder="1" applyAlignment="1">
      <alignment horizontal="center" vertical="center"/>
    </xf>
    <xf numFmtId="0" fontId="14" fillId="23" borderId="43" xfId="0" applyFont="1" applyFill="1" applyBorder="1" applyAlignment="1">
      <alignment horizontal="center" vertical="center"/>
    </xf>
    <xf numFmtId="171" fontId="16" fillId="23" borderId="77" xfId="0" applyNumberFormat="1" applyFont="1" applyFill="1" applyBorder="1" applyAlignment="1">
      <alignment horizontal="center" vertical="center"/>
    </xf>
    <xf numFmtId="171" fontId="16" fillId="23" borderId="43" xfId="0" applyNumberFormat="1" applyFont="1" applyFill="1" applyBorder="1" applyAlignment="1">
      <alignment horizontal="center" vertical="center"/>
    </xf>
    <xf numFmtId="10" fontId="16" fillId="23" borderId="77" xfId="0" applyNumberFormat="1" applyFont="1" applyFill="1" applyBorder="1" applyAlignment="1">
      <alignment horizontal="center" vertical="center"/>
    </xf>
    <xf numFmtId="10" fontId="16" fillId="23" borderId="43" xfId="0" applyNumberFormat="1" applyFont="1" applyFill="1" applyBorder="1" applyAlignment="1">
      <alignment horizontal="center" vertical="center"/>
    </xf>
    <xf numFmtId="0" fontId="14" fillId="23" borderId="17" xfId="0" applyFont="1" applyFill="1" applyBorder="1" applyAlignment="1">
      <alignment horizontal="center" vertical="center" wrapText="1"/>
    </xf>
    <xf numFmtId="0" fontId="14" fillId="23" borderId="45" xfId="0" applyFont="1" applyFill="1" applyBorder="1" applyAlignment="1">
      <alignment horizontal="center" vertical="center" wrapText="1"/>
    </xf>
    <xf numFmtId="0" fontId="14" fillId="23" borderId="13" xfId="0" applyFont="1" applyFill="1" applyBorder="1" applyAlignment="1">
      <alignment horizontal="center" vertical="center" wrapText="1"/>
    </xf>
    <xf numFmtId="0" fontId="14" fillId="23" borderId="18" xfId="0" applyFont="1" applyFill="1" applyBorder="1" applyAlignment="1">
      <alignment horizontal="center" vertical="center" wrapText="1"/>
    </xf>
    <xf numFmtId="171" fontId="16" fillId="13" borderId="77" xfId="0" applyNumberFormat="1" applyFont="1" applyFill="1" applyBorder="1" applyAlignment="1">
      <alignment horizontal="center" vertical="center"/>
    </xf>
    <xf numFmtId="10" fontId="16" fillId="13" borderId="77" xfId="0" applyNumberFormat="1" applyFont="1" applyFill="1" applyBorder="1" applyAlignment="1">
      <alignment horizontal="center" vertical="center"/>
    </xf>
    <xf numFmtId="0" fontId="14" fillId="13" borderId="17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0" fontId="14" fillId="13" borderId="18" xfId="0" applyFont="1" applyFill="1" applyBorder="1" applyAlignment="1">
      <alignment horizontal="center" vertical="center" wrapText="1"/>
    </xf>
    <xf numFmtId="171" fontId="16" fillId="13" borderId="13" xfId="0" applyNumberFormat="1" applyFont="1" applyFill="1" applyBorder="1" applyAlignment="1">
      <alignment horizontal="center" vertical="center"/>
    </xf>
    <xf numFmtId="10" fontId="16" fillId="13" borderId="13" xfId="0" applyNumberFormat="1" applyFont="1" applyFill="1" applyBorder="1" applyAlignment="1">
      <alignment horizontal="center" vertical="center"/>
    </xf>
    <xf numFmtId="10" fontId="16" fillId="23" borderId="13" xfId="6" applyNumberFormat="1" applyFont="1" applyFill="1" applyBorder="1" applyAlignment="1">
      <alignment horizontal="center" vertical="center"/>
    </xf>
    <xf numFmtId="10" fontId="16" fillId="23" borderId="43" xfId="6" applyNumberFormat="1" applyFont="1" applyFill="1" applyBorder="1" applyAlignment="1">
      <alignment horizontal="center" vertical="center"/>
    </xf>
    <xf numFmtId="0" fontId="5" fillId="23" borderId="5" xfId="0" applyFont="1" applyFill="1" applyBorder="1" applyAlignment="1">
      <alignment horizontal="center" vertical="center"/>
    </xf>
    <xf numFmtId="10" fontId="16" fillId="23" borderId="13" xfId="0" applyNumberFormat="1" applyFont="1" applyFill="1" applyBorder="1" applyAlignment="1">
      <alignment horizontal="center" vertical="center"/>
    </xf>
    <xf numFmtId="10" fontId="16" fillId="23" borderId="49" xfId="6" applyNumberFormat="1" applyFont="1" applyFill="1" applyBorder="1" applyAlignment="1">
      <alignment horizontal="center" vertical="center"/>
    </xf>
    <xf numFmtId="10" fontId="16" fillId="23" borderId="42" xfId="6" applyNumberFormat="1" applyFont="1" applyFill="1" applyBorder="1" applyAlignment="1">
      <alignment horizontal="center" vertical="center"/>
    </xf>
    <xf numFmtId="10" fontId="16" fillId="23" borderId="49" xfId="0" applyNumberFormat="1" applyFont="1" applyFill="1" applyBorder="1" applyAlignment="1">
      <alignment horizontal="center" vertical="center"/>
    </xf>
    <xf numFmtId="10" fontId="16" fillId="23" borderId="42" xfId="0" applyNumberFormat="1" applyFont="1" applyFill="1" applyBorder="1" applyAlignment="1">
      <alignment horizontal="center" vertical="center"/>
    </xf>
    <xf numFmtId="171" fontId="16" fillId="23" borderId="49" xfId="0" applyNumberFormat="1" applyFont="1" applyFill="1" applyBorder="1" applyAlignment="1">
      <alignment horizontal="center" vertical="center"/>
    </xf>
    <xf numFmtId="171" fontId="16" fillId="23" borderId="42" xfId="0" applyNumberFormat="1" applyFont="1" applyFill="1" applyBorder="1" applyAlignment="1">
      <alignment horizontal="center" vertical="center"/>
    </xf>
    <xf numFmtId="171" fontId="16" fillId="23" borderId="38" xfId="0" applyNumberFormat="1" applyFont="1" applyFill="1" applyBorder="1" applyAlignment="1">
      <alignment horizontal="center" vertical="center"/>
    </xf>
    <xf numFmtId="171" fontId="16" fillId="23" borderId="50" xfId="0" applyNumberFormat="1" applyFont="1" applyFill="1" applyBorder="1" applyAlignment="1">
      <alignment horizontal="center" vertical="center"/>
    </xf>
    <xf numFmtId="171" fontId="16" fillId="23" borderId="39" xfId="0" applyNumberFormat="1" applyFont="1" applyFill="1" applyBorder="1" applyAlignment="1">
      <alignment horizontal="center" vertical="center"/>
    </xf>
    <xf numFmtId="0" fontId="5" fillId="22" borderId="26" xfId="0" applyFont="1" applyFill="1" applyBorder="1" applyAlignment="1">
      <alignment horizontal="center" vertical="center"/>
    </xf>
    <xf numFmtId="0" fontId="5" fillId="22" borderId="47" xfId="0" applyFont="1" applyFill="1" applyBorder="1" applyAlignment="1">
      <alignment horizontal="center" vertical="center"/>
    </xf>
    <xf numFmtId="0" fontId="5" fillId="22" borderId="28" xfId="0" applyFont="1" applyFill="1" applyBorder="1" applyAlignment="1">
      <alignment horizontal="center" vertical="center"/>
    </xf>
    <xf numFmtId="0" fontId="14" fillId="23" borderId="37" xfId="0" applyFont="1" applyFill="1" applyBorder="1" applyAlignment="1">
      <alignment horizontal="center" vertical="center"/>
    </xf>
    <xf numFmtId="0" fontId="14" fillId="22" borderId="15" xfId="0" applyFont="1" applyFill="1" applyBorder="1" applyAlignment="1">
      <alignment horizontal="center" vertical="center"/>
    </xf>
    <xf numFmtId="0" fontId="14" fillId="22" borderId="43" xfId="0" applyFont="1" applyFill="1" applyBorder="1" applyAlignment="1">
      <alignment horizontal="center" vertical="center"/>
    </xf>
    <xf numFmtId="10" fontId="16" fillId="13" borderId="13" xfId="6" applyNumberFormat="1" applyFont="1" applyFill="1" applyBorder="1" applyAlignment="1">
      <alignment horizontal="center" vertical="center"/>
    </xf>
    <xf numFmtId="10" fontId="16" fillId="13" borderId="43" xfId="6" applyNumberFormat="1" applyFont="1" applyFill="1" applyBorder="1" applyAlignment="1">
      <alignment horizontal="center" vertical="center"/>
    </xf>
    <xf numFmtId="171" fontId="16" fillId="22" borderId="15" xfId="0" applyNumberFormat="1" applyFont="1" applyFill="1" applyBorder="1" applyAlignment="1">
      <alignment horizontal="center" vertical="center"/>
    </xf>
    <xf numFmtId="171" fontId="16" fillId="22" borderId="43" xfId="0" applyNumberFormat="1" applyFont="1" applyFill="1" applyBorder="1" applyAlignment="1">
      <alignment horizontal="center" vertical="center"/>
    </xf>
    <xf numFmtId="10" fontId="16" fillId="22" borderId="15" xfId="0" applyNumberFormat="1" applyFont="1" applyFill="1" applyBorder="1" applyAlignment="1">
      <alignment horizontal="center" vertical="center"/>
    </xf>
    <xf numFmtId="10" fontId="16" fillId="22" borderId="43" xfId="0" applyNumberFormat="1" applyFont="1" applyFill="1" applyBorder="1" applyAlignment="1">
      <alignment horizontal="center" vertical="center"/>
    </xf>
    <xf numFmtId="10" fontId="16" fillId="22" borderId="15" xfId="6" applyNumberFormat="1" applyFont="1" applyFill="1" applyBorder="1" applyAlignment="1">
      <alignment horizontal="center" vertical="center"/>
    </xf>
    <xf numFmtId="10" fontId="16" fillId="22" borderId="43" xfId="6" applyNumberFormat="1" applyFont="1" applyFill="1" applyBorder="1" applyAlignment="1">
      <alignment horizontal="center" vertical="center"/>
    </xf>
    <xf numFmtId="0" fontId="14" fillId="22" borderId="15" xfId="0" applyFont="1" applyFill="1" applyBorder="1" applyAlignment="1">
      <alignment horizontal="center" vertical="center" wrapText="1"/>
    </xf>
    <xf numFmtId="0" fontId="14" fillId="22" borderId="43" xfId="0" applyFont="1" applyFill="1" applyBorder="1" applyAlignment="1">
      <alignment horizontal="center" vertical="center" wrapText="1"/>
    </xf>
    <xf numFmtId="0" fontId="14" fillId="13" borderId="15" xfId="0" applyFont="1" applyFill="1" applyBorder="1" applyAlignment="1">
      <alignment horizontal="center" vertical="center" wrapText="1"/>
    </xf>
    <xf numFmtId="10" fontId="16" fillId="23" borderId="15" xfId="6" applyNumberFormat="1" applyFont="1" applyFill="1" applyBorder="1" applyAlignment="1">
      <alignment horizontal="center" vertical="center"/>
    </xf>
    <xf numFmtId="10" fontId="16" fillId="13" borderId="83" xfId="6" applyNumberFormat="1" applyFont="1" applyFill="1" applyBorder="1" applyAlignment="1">
      <alignment horizontal="center" vertical="center"/>
    </xf>
    <xf numFmtId="10" fontId="16" fillId="13" borderId="15" xfId="6" applyNumberFormat="1" applyFont="1" applyFill="1" applyBorder="1" applyAlignment="1">
      <alignment horizontal="center" vertical="center"/>
    </xf>
    <xf numFmtId="0" fontId="14" fillId="13" borderId="22" xfId="0" applyFont="1" applyFill="1" applyBorder="1" applyAlignment="1">
      <alignment horizontal="center" vertical="center"/>
    </xf>
    <xf numFmtId="3" fontId="14" fillId="13" borderId="22" xfId="0" applyNumberFormat="1" applyFont="1" applyFill="1" applyBorder="1" applyAlignment="1">
      <alignment horizontal="center" vertical="center"/>
    </xf>
    <xf numFmtId="0" fontId="14" fillId="23" borderId="20" xfId="0" applyFont="1" applyFill="1" applyBorder="1" applyAlignment="1">
      <alignment horizontal="center" vertical="center" wrapText="1"/>
    </xf>
    <xf numFmtId="0" fontId="14" fillId="23" borderId="44" xfId="0" applyFont="1" applyFill="1" applyBorder="1" applyAlignment="1">
      <alignment horizontal="center" vertical="center" wrapText="1"/>
    </xf>
    <xf numFmtId="0" fontId="5" fillId="23" borderId="49" xfId="0" applyFont="1" applyFill="1" applyBorder="1" applyAlignment="1">
      <alignment horizontal="center" vertical="center"/>
    </xf>
    <xf numFmtId="173" fontId="17" fillId="0" borderId="0" xfId="0" applyNumberFormat="1" applyFont="1" applyAlignment="1">
      <alignment horizontal="left" vertical="center"/>
    </xf>
    <xf numFmtId="17" fontId="17" fillId="0" borderId="0" xfId="0" applyNumberFormat="1" applyFont="1" applyAlignment="1">
      <alignment horizontal="left" vertical="center"/>
    </xf>
    <xf numFmtId="176" fontId="35" fillId="11" borderId="37" xfId="0" applyNumberFormat="1" applyFont="1" applyFill="1" applyBorder="1" applyAlignment="1">
      <alignment horizontal="center" vertical="center" wrapText="1"/>
    </xf>
    <xf numFmtId="170" fontId="35" fillId="11" borderId="37" xfId="0" applyNumberFormat="1" applyFont="1" applyFill="1" applyBorder="1" applyAlignment="1">
      <alignment horizontal="center" vertical="center" wrapText="1"/>
    </xf>
    <xf numFmtId="0" fontId="35" fillId="11" borderId="37" xfId="0" applyFont="1" applyFill="1" applyBorder="1" applyAlignment="1">
      <alignment horizontal="center" vertical="center" wrapText="1"/>
    </xf>
    <xf numFmtId="0" fontId="5" fillId="23" borderId="46" xfId="0" applyFont="1" applyFill="1" applyBorder="1" applyAlignment="1">
      <alignment horizontal="center" vertical="center"/>
    </xf>
    <xf numFmtId="0" fontId="5" fillId="23" borderId="47" xfId="0" applyFont="1" applyFill="1" applyBorder="1" applyAlignment="1">
      <alignment horizontal="center" vertical="center"/>
    </xf>
    <xf numFmtId="0" fontId="5" fillId="23" borderId="36" xfId="0" applyFont="1" applyFill="1" applyBorder="1" applyAlignment="1">
      <alignment horizontal="center" vertical="center"/>
    </xf>
    <xf numFmtId="0" fontId="5" fillId="23" borderId="4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14" fillId="22" borderId="18" xfId="0" applyFont="1" applyFill="1" applyBorder="1" applyAlignment="1">
      <alignment horizontal="center" vertical="center" wrapText="1"/>
    </xf>
    <xf numFmtId="0" fontId="14" fillId="23" borderId="15" xfId="0" applyFont="1" applyFill="1" applyBorder="1" applyAlignment="1">
      <alignment horizontal="center" vertical="center" wrapText="1"/>
    </xf>
    <xf numFmtId="10" fontId="16" fillId="23" borderId="77" xfId="6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17" fontId="36" fillId="0" borderId="0" xfId="0" applyNumberFormat="1" applyFont="1" applyAlignment="1">
      <alignment horizontal="left" vertical="center"/>
    </xf>
    <xf numFmtId="0" fontId="37" fillId="0" borderId="54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36" fillId="27" borderId="82" xfId="0" applyFont="1" applyFill="1" applyBorder="1" applyAlignment="1">
      <alignment horizontal="center" vertical="center" wrapText="1"/>
    </xf>
    <xf numFmtId="181" fontId="36" fillId="0" borderId="49" xfId="0" applyNumberFormat="1" applyFont="1" applyBorder="1" applyAlignment="1">
      <alignment horizontal="center" vertical="center"/>
    </xf>
    <xf numFmtId="181" fontId="36" fillId="0" borderId="53" xfId="0" applyNumberFormat="1" applyFont="1" applyBorder="1" applyAlignment="1">
      <alignment horizontal="center" vertical="center"/>
    </xf>
    <xf numFmtId="181" fontId="36" fillId="0" borderId="42" xfId="0" applyNumberFormat="1" applyFont="1" applyBorder="1" applyAlignment="1">
      <alignment horizontal="center" vertical="center"/>
    </xf>
    <xf numFmtId="181" fontId="36" fillId="4" borderId="57" xfId="0" applyNumberFormat="1" applyFont="1" applyFill="1" applyBorder="1" applyAlignment="1">
      <alignment horizontal="center"/>
    </xf>
    <xf numFmtId="181" fontId="36" fillId="4" borderId="11" xfId="0" applyNumberFormat="1" applyFont="1" applyFill="1" applyBorder="1" applyAlignment="1">
      <alignment horizontal="center" vertical="center"/>
    </xf>
    <xf numFmtId="181" fontId="36" fillId="4" borderId="71" xfId="0" applyNumberFormat="1" applyFont="1" applyFill="1" applyBorder="1" applyAlignment="1">
      <alignment horizontal="center" vertical="center"/>
    </xf>
    <xf numFmtId="181" fontId="36" fillId="4" borderId="12" xfId="0" applyNumberFormat="1" applyFont="1" applyFill="1" applyBorder="1" applyAlignment="1">
      <alignment horizontal="center" vertical="center"/>
    </xf>
    <xf numFmtId="181" fontId="36" fillId="4" borderId="72" xfId="0" applyNumberFormat="1" applyFont="1" applyFill="1" applyBorder="1" applyAlignment="1">
      <alignment horizontal="center" vertical="center"/>
    </xf>
    <xf numFmtId="0" fontId="36" fillId="3" borderId="55" xfId="0" applyFont="1" applyFill="1" applyBorder="1" applyAlignment="1">
      <alignment horizontal="center" vertical="center"/>
    </xf>
    <xf numFmtId="0" fontId="36" fillId="3" borderId="9" xfId="0" applyFont="1" applyFill="1" applyBorder="1" applyAlignment="1">
      <alignment horizontal="center" vertical="center"/>
    </xf>
    <xf numFmtId="0" fontId="36" fillId="3" borderId="15" xfId="0" applyFont="1" applyFill="1" applyBorder="1" applyAlignment="1">
      <alignment horizontal="center" vertical="center"/>
    </xf>
    <xf numFmtId="181" fontId="36" fillId="3" borderId="56" xfId="0" applyNumberFormat="1" applyFont="1" applyFill="1" applyBorder="1" applyAlignment="1">
      <alignment horizontal="center" vertical="center"/>
    </xf>
    <xf numFmtId="181" fontId="36" fillId="3" borderId="1" xfId="0" applyNumberFormat="1" applyFont="1" applyFill="1" applyBorder="1" applyAlignment="1">
      <alignment horizontal="center" vertical="center"/>
    </xf>
    <xf numFmtId="181" fontId="36" fillId="3" borderId="7" xfId="0" applyNumberFormat="1" applyFont="1" applyFill="1" applyBorder="1" applyAlignment="1">
      <alignment horizontal="center" vertical="center"/>
    </xf>
    <xf numFmtId="181" fontId="36" fillId="4" borderId="10" xfId="0" applyNumberFormat="1" applyFont="1" applyFill="1" applyBorder="1" applyAlignment="1">
      <alignment horizontal="center" vertical="center"/>
    </xf>
    <xf numFmtId="181" fontId="36" fillId="4" borderId="70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49" xfId="0" applyFont="1" applyBorder="1" applyAlignment="1">
      <alignment horizontal="center" vertical="center" wrapText="1"/>
    </xf>
    <xf numFmtId="0" fontId="36" fillId="0" borderId="53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36" fillId="0" borderId="38" xfId="0" applyFont="1" applyBorder="1" applyAlignment="1">
      <alignment horizontal="left" vertical="center"/>
    </xf>
    <xf numFmtId="0" fontId="36" fillId="0" borderId="50" xfId="0" applyFont="1" applyBorder="1" applyAlignment="1">
      <alignment horizontal="left" vertical="center"/>
    </xf>
    <xf numFmtId="0" fontId="36" fillId="0" borderId="39" xfId="0" applyFont="1" applyBorder="1" applyAlignment="1">
      <alignment horizontal="left" vertical="center"/>
    </xf>
    <xf numFmtId="169" fontId="36" fillId="0" borderId="73" xfId="0" applyNumberFormat="1" applyFont="1" applyBorder="1" applyAlignment="1">
      <alignment horizontal="center" vertical="center"/>
    </xf>
    <xf numFmtId="169" fontId="36" fillId="0" borderId="52" xfId="0" applyNumberFormat="1" applyFont="1" applyBorder="1" applyAlignment="1">
      <alignment horizontal="center" vertical="center"/>
    </xf>
    <xf numFmtId="175" fontId="21" fillId="18" borderId="9" xfId="0" applyNumberFormat="1" applyFont="1" applyFill="1" applyBorder="1" applyAlignment="1">
      <alignment horizontal="center" vertical="center"/>
    </xf>
  </cellXfs>
  <cellStyles count="8">
    <cellStyle name="Comma" xfId="1" builtinId="3"/>
    <cellStyle name="Comma [0]" xfId="2" builtinId="6"/>
    <cellStyle name="Comma 2" xfId="3"/>
    <cellStyle name="Good" xfId="7" builtinId="26"/>
    <cellStyle name="Normal" xfId="0" builtinId="0"/>
    <cellStyle name="Normal 2" xfId="5"/>
    <cellStyle name="Normal 5" xfId="4"/>
    <cellStyle name="Percent" xfId="6" builtinId="5"/>
  </cellStyles>
  <dxfs count="105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CC33"/>
      <rgbColor rgb="000000FF"/>
      <rgbColor rgb="00FFFF00"/>
      <rgbColor rgb="00FF00FF"/>
      <rgbColor rgb="0000FFFF"/>
      <rgbColor rgb="00CC0000"/>
      <rgbColor rgb="00008000"/>
      <rgbColor rgb="00000080"/>
      <rgbColor rgb="00808000"/>
      <rgbColor rgb="00800080"/>
      <rgbColor rgb="00008080"/>
      <rgbColor rgb="00C0C0C0"/>
      <rgbColor rgb="00808080"/>
      <rgbColor rgb="00CC66FF"/>
      <rgbColor rgb="00A3238E"/>
      <rgbColor rgb="00CCFF66"/>
      <rgbColor rgb="00DDDDDD"/>
      <rgbColor rgb="00660066"/>
      <rgbColor rgb="00FF9999"/>
      <rgbColor rgb="000066CC"/>
      <rgbColor rgb="00CCCCFF"/>
      <rgbColor rgb="00000080"/>
      <rgbColor rgb="00FF00FF"/>
      <rgbColor rgb="00FFF2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CC99"/>
      <rgbColor rgb="00FF99CC"/>
      <rgbColor rgb="00CC99FF"/>
      <rgbColor rgb="00FFCC99"/>
      <rgbColor rgb="003366FF"/>
      <rgbColor rgb="0066CC99"/>
      <rgbColor rgb="00CCFF00"/>
      <rgbColor rgb="00FFCC00"/>
      <rgbColor rgb="00FF9900"/>
      <rgbColor rgb="00FF6666"/>
      <rgbColor rgb="00666699"/>
      <rgbColor rgb="00969696"/>
      <rgbColor rgb="00003366"/>
      <rgbColor rgb="00339966"/>
      <rgbColor rgb="00003300"/>
      <rgbColor rgb="001A1A1A"/>
      <rgbColor rgb="00CE181E"/>
      <rgbColor rgb="00ED1C24"/>
      <rgbColor rgb="004C4C4C"/>
      <rgbColor rgb="003C3C3C"/>
    </indexedColors>
    <mruColors>
      <color rgb="FFFFCC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vlgari-PI/Downloads/4.%20DS%20APR%20202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SALES%20REPORT%20BVLGARI%20PLAZA%20INDONESIA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SALES DATA"/>
      <sheetName val="DAILY REPAIR DATA"/>
      <sheetName val="SMI "/>
      <sheetName val="TRAFFIC &amp; COMMISSION REPORT"/>
      <sheetName val="Individual Commission"/>
      <sheetName val="IN AND OUT"/>
      <sheetName val="SPPR _"/>
      <sheetName val="Nat"/>
      <sheetName val="Data"/>
      <sheetName val="Sales Sup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ales Support"/>
      <sheetName val="DS"/>
      <sheetName val="SC"/>
      <sheetName val="SMI"/>
      <sheetName val="HO"/>
      <sheetName val="MARKOM"/>
      <sheetName val="IN AND OUT"/>
      <sheetName val="TRAFFIC &amp; COMMISSION REPORT"/>
      <sheetName val="Commission"/>
      <sheetName val="SPPR 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AM1048549"/>
  <sheetViews>
    <sheetView tabSelected="1" zoomScale="70" zoomScaleNormal="70" zoomScaleSheetLayoutView="10" workbookViewId="0">
      <pane xSplit="4" ySplit="6" topLeftCell="E168" activePane="bottomRight" state="frozen"/>
      <selection activeCell="Y52" sqref="Y52"/>
      <selection pane="topRight" activeCell="Y52" sqref="Y52"/>
      <selection pane="bottomLeft" activeCell="Y52" sqref="Y52"/>
      <selection pane="bottomRight" activeCell="E192" sqref="E192"/>
    </sheetView>
  </sheetViews>
  <sheetFormatPr defaultColWidth="8.5" defaultRowHeight="12.75" customHeight="1"/>
  <cols>
    <col min="1" max="1" width="16" style="36" customWidth="1"/>
    <col min="2" max="2" width="13.875" style="346" customWidth="1"/>
    <col min="3" max="3" width="22.25" style="346" customWidth="1"/>
    <col min="4" max="4" width="40.25" style="102" customWidth="1"/>
    <col min="5" max="5" width="16.25" style="675" customWidth="1"/>
    <col min="6" max="6" width="21.875" style="346" bestFit="1" customWidth="1"/>
    <col min="7" max="7" width="5.625" style="36" customWidth="1"/>
    <col min="8" max="8" width="4.5" style="36" customWidth="1"/>
    <col min="9" max="9" width="4.125" style="346" customWidth="1"/>
    <col min="10" max="10" width="4.25" style="36" customWidth="1"/>
    <col min="11" max="11" width="10.5" style="102" bestFit="1" customWidth="1"/>
    <col min="12" max="12" width="11" style="346" customWidth="1"/>
    <col min="13" max="13" width="17.875" style="346" customWidth="1"/>
    <col min="14" max="14" width="10.375" style="346" customWidth="1"/>
    <col min="15" max="15" width="84.5" style="102" bestFit="1" customWidth="1"/>
    <col min="16" max="16" width="4.75" style="346" bestFit="1" customWidth="1"/>
    <col min="17" max="17" width="19" style="355" customWidth="1"/>
    <col min="18" max="18" width="11" style="853" customWidth="1"/>
    <col min="19" max="19" width="19.5" style="356" customWidth="1"/>
    <col min="20" max="20" width="34.75" style="36" bestFit="1" customWidth="1"/>
    <col min="21" max="21" width="19.125" style="356" customWidth="1"/>
    <col min="22" max="22" width="19.5" style="36" customWidth="1"/>
    <col min="23" max="23" width="19.5" style="364" customWidth="1"/>
    <col min="24" max="24" width="8.125" style="36" bestFit="1" customWidth="1"/>
    <col min="25" max="25" width="19" style="36" bestFit="1" customWidth="1"/>
    <col min="26" max="26" width="15.125" style="36" bestFit="1" customWidth="1"/>
    <col min="27" max="27" width="18.75" style="36" customWidth="1"/>
    <col min="28" max="28" width="18.875" style="359" bestFit="1" customWidth="1"/>
    <col min="29" max="29" width="21.125" style="359" bestFit="1" customWidth="1"/>
    <col min="30" max="30" width="27.375" style="352" customWidth="1"/>
    <col min="31" max="31" width="15.25" style="353" bestFit="1" customWidth="1"/>
    <col min="32" max="32" width="4.25" style="343" bestFit="1" customWidth="1"/>
    <col min="33" max="33" width="15.125" style="351" bestFit="1" customWidth="1"/>
    <col min="34" max="34" width="21.25" style="36" bestFit="1" customWidth="1"/>
    <col min="35" max="35" width="9.25" style="36" customWidth="1"/>
    <col min="36" max="36" width="50.375" style="36" customWidth="1"/>
    <col min="37" max="37" width="15.5" style="354" customWidth="1"/>
    <col min="38" max="38" width="17.5" style="354" customWidth="1"/>
    <col min="39" max="255" width="8.5" style="354" customWidth="1"/>
    <col min="256" max="16384" width="8.5" style="354"/>
  </cols>
  <sheetData>
    <row r="1" spans="1:36" ht="17.100000000000001" customHeight="1">
      <c r="A1" s="347" t="s">
        <v>761</v>
      </c>
      <c r="B1" s="37"/>
      <c r="C1" s="73"/>
      <c r="D1" s="73"/>
      <c r="E1" s="37"/>
      <c r="F1" s="72"/>
      <c r="G1" s="72"/>
      <c r="K1" s="73"/>
      <c r="L1" s="37"/>
      <c r="M1" s="72"/>
      <c r="N1" s="72"/>
      <c r="O1" s="73"/>
      <c r="P1" s="37"/>
      <c r="Q1" s="347"/>
      <c r="R1" s="852"/>
      <c r="S1" s="350"/>
      <c r="U1" s="350"/>
      <c r="V1" s="347"/>
      <c r="W1" s="350"/>
      <c r="X1" s="351"/>
      <c r="Y1" s="351"/>
      <c r="Z1" s="347"/>
      <c r="AA1" s="347"/>
      <c r="AB1" s="352"/>
      <c r="AC1" s="352"/>
      <c r="AF1" s="37"/>
      <c r="AG1" s="347"/>
    </row>
    <row r="2" spans="1:36" ht="17.100000000000001" customHeight="1">
      <c r="A2" s="347" t="s">
        <v>0</v>
      </c>
      <c r="B2" s="37"/>
      <c r="C2" s="82"/>
      <c r="D2" s="82"/>
      <c r="E2" s="79"/>
      <c r="F2" s="80"/>
      <c r="G2" s="81"/>
      <c r="K2" s="82"/>
      <c r="L2" s="79"/>
      <c r="M2" s="80"/>
      <c r="N2" s="81"/>
      <c r="O2" s="82"/>
      <c r="V2" s="357"/>
      <c r="W2" s="358"/>
      <c r="Z2" s="357"/>
      <c r="AA2" s="357"/>
      <c r="AF2" s="88"/>
      <c r="AG2" s="360"/>
    </row>
    <row r="3" spans="1:36" ht="17.100000000000001" customHeight="1">
      <c r="A3" s="345" t="s">
        <v>611</v>
      </c>
      <c r="B3" s="361">
        <v>46266</v>
      </c>
      <c r="C3" s="666"/>
      <c r="D3" s="666"/>
      <c r="E3" s="674"/>
      <c r="F3" s="92"/>
      <c r="G3" s="93"/>
      <c r="K3" s="344"/>
      <c r="L3" s="343"/>
      <c r="M3" s="92"/>
      <c r="N3" s="93"/>
      <c r="O3" s="344"/>
      <c r="R3" s="854"/>
      <c r="V3" s="357"/>
      <c r="W3" s="358"/>
      <c r="Z3" s="364"/>
      <c r="AA3" s="364"/>
      <c r="AB3" s="365"/>
      <c r="AC3" s="365"/>
      <c r="AD3" s="366"/>
      <c r="AE3" s="367"/>
      <c r="AG3" s="368"/>
    </row>
    <row r="4" spans="1:36" ht="12.75" customHeight="1">
      <c r="A4" s="349"/>
      <c r="B4" s="348"/>
      <c r="C4" s="369"/>
      <c r="D4" s="344"/>
      <c r="E4" s="674"/>
      <c r="F4" s="369"/>
      <c r="L4" s="343"/>
      <c r="M4" s="101"/>
      <c r="N4" s="101"/>
      <c r="Q4" s="370"/>
      <c r="R4" s="854"/>
      <c r="S4" s="371"/>
      <c r="U4" s="371"/>
      <c r="V4" s="360"/>
      <c r="W4" s="372"/>
      <c r="X4" s="351"/>
      <c r="Y4" s="351"/>
      <c r="Z4" s="364"/>
      <c r="AA4" s="364"/>
      <c r="AB4" s="365"/>
      <c r="AC4" s="365"/>
      <c r="AD4" s="366"/>
      <c r="AE4" s="368" t="s">
        <v>638</v>
      </c>
      <c r="AG4" s="368" t="s">
        <v>638</v>
      </c>
    </row>
    <row r="5" spans="1:36" s="155" customFormat="1" ht="17.100000000000001" customHeight="1">
      <c r="A5" s="942" t="s">
        <v>1</v>
      </c>
      <c r="B5" s="921" t="s">
        <v>2</v>
      </c>
      <c r="C5" s="935" t="s">
        <v>620</v>
      </c>
      <c r="D5" s="923" t="s">
        <v>3</v>
      </c>
      <c r="E5" s="944" t="s">
        <v>794</v>
      </c>
      <c r="F5" s="935" t="s">
        <v>17</v>
      </c>
      <c r="G5" s="935" t="s">
        <v>4</v>
      </c>
      <c r="H5" s="935" t="s">
        <v>5</v>
      </c>
      <c r="I5" s="935" t="s">
        <v>621</v>
      </c>
      <c r="J5" s="935" t="s">
        <v>622</v>
      </c>
      <c r="K5" s="935" t="s">
        <v>614</v>
      </c>
      <c r="L5" s="925" t="s">
        <v>6</v>
      </c>
      <c r="M5" s="921" t="s">
        <v>613</v>
      </c>
      <c r="N5" s="921" t="s">
        <v>612</v>
      </c>
      <c r="O5" s="923" t="s">
        <v>7</v>
      </c>
      <c r="P5" s="925" t="s">
        <v>8</v>
      </c>
      <c r="Q5" s="927" t="s">
        <v>9</v>
      </c>
      <c r="R5" s="929" t="s">
        <v>10</v>
      </c>
      <c r="S5" s="931" t="s">
        <v>11</v>
      </c>
      <c r="T5" s="935" t="s">
        <v>625</v>
      </c>
      <c r="U5" s="933" t="s">
        <v>12</v>
      </c>
      <c r="V5" s="934"/>
      <c r="W5" s="934"/>
      <c r="X5" s="934"/>
      <c r="Y5" s="934"/>
      <c r="Z5" s="934"/>
      <c r="AA5" s="934"/>
      <c r="AB5" s="934"/>
      <c r="AC5" s="919" t="s">
        <v>44</v>
      </c>
      <c r="AD5" s="917" t="s">
        <v>617</v>
      </c>
      <c r="AE5" s="938" t="s">
        <v>618</v>
      </c>
      <c r="AF5" s="935" t="s">
        <v>610</v>
      </c>
      <c r="AG5" s="940" t="s">
        <v>619</v>
      </c>
      <c r="AH5" s="935" t="s">
        <v>627</v>
      </c>
      <c r="AI5" s="937" t="s">
        <v>752</v>
      </c>
      <c r="AJ5" s="935" t="s">
        <v>623</v>
      </c>
    </row>
    <row r="6" spans="1:36" s="155" customFormat="1" ht="17.100000000000001" customHeight="1">
      <c r="A6" s="943"/>
      <c r="B6" s="922"/>
      <c r="C6" s="936"/>
      <c r="D6" s="924"/>
      <c r="E6" s="944"/>
      <c r="F6" s="936"/>
      <c r="G6" s="936"/>
      <c r="H6" s="936"/>
      <c r="I6" s="936"/>
      <c r="J6" s="936"/>
      <c r="K6" s="936"/>
      <c r="L6" s="926"/>
      <c r="M6" s="922"/>
      <c r="N6" s="922"/>
      <c r="O6" s="924"/>
      <c r="P6" s="926"/>
      <c r="Q6" s="928"/>
      <c r="R6" s="930"/>
      <c r="S6" s="932"/>
      <c r="T6" s="936"/>
      <c r="U6" s="161" t="s">
        <v>624</v>
      </c>
      <c r="V6" s="158" t="s">
        <v>18</v>
      </c>
      <c r="W6" s="156" t="s">
        <v>19</v>
      </c>
      <c r="X6" s="158" t="s">
        <v>13</v>
      </c>
      <c r="Y6" s="158" t="s">
        <v>615</v>
      </c>
      <c r="Z6" s="158" t="s">
        <v>14</v>
      </c>
      <c r="AA6" s="158" t="s">
        <v>616</v>
      </c>
      <c r="AB6" s="159" t="s">
        <v>15</v>
      </c>
      <c r="AC6" s="920"/>
      <c r="AD6" s="918"/>
      <c r="AE6" s="939"/>
      <c r="AF6" s="936"/>
      <c r="AG6" s="941"/>
      <c r="AH6" s="936"/>
      <c r="AI6" s="936"/>
      <c r="AJ6" s="936"/>
    </row>
    <row r="7" spans="1:36" s="258" customFormat="1" ht="20.100000000000001" customHeight="1">
      <c r="A7" s="718">
        <v>46266</v>
      </c>
      <c r="B7" s="851" t="s">
        <v>799</v>
      </c>
      <c r="C7" s="568"/>
      <c r="D7" s="719"/>
      <c r="E7" s="720"/>
      <c r="F7" s="721"/>
      <c r="G7" s="568"/>
      <c r="H7" s="568"/>
      <c r="I7" s="568"/>
      <c r="J7" s="568"/>
      <c r="K7" s="721"/>
      <c r="L7" s="568"/>
      <c r="M7" s="721"/>
      <c r="N7" s="568"/>
      <c r="O7" s="722"/>
      <c r="P7" s="568"/>
      <c r="Q7" s="723"/>
      <c r="R7" s="855" t="e">
        <f t="shared" ref="R7:R36" si="0">(Q7-S7)/Q7*100</f>
        <v>#DIV/0!</v>
      </c>
      <c r="S7" s="723"/>
      <c r="T7" s="734"/>
      <c r="U7" s="726"/>
      <c r="V7" s="723"/>
      <c r="W7" s="723"/>
      <c r="X7" s="568"/>
      <c r="Y7" s="568"/>
      <c r="Z7" s="568"/>
      <c r="AA7" s="568"/>
      <c r="AB7" s="247">
        <f>W7*1.3%</f>
        <v>0</v>
      </c>
      <c r="AC7" s="247">
        <f t="shared" ref="AC7:AC18" si="1">(S7/1.11)</f>
        <v>0</v>
      </c>
      <c r="AD7" s="761">
        <f>SUM(AC7)</f>
        <v>0</v>
      </c>
      <c r="AE7" s="762"/>
      <c r="AF7" s="568"/>
      <c r="AG7" s="568"/>
      <c r="AH7" s="721"/>
      <c r="AI7" s="743"/>
      <c r="AJ7" s="734"/>
    </row>
    <row r="8" spans="1:36" s="258" customFormat="1" ht="20.100000000000001" customHeight="1">
      <c r="A8" s="718">
        <v>46267</v>
      </c>
      <c r="B8" s="568" t="s">
        <v>820</v>
      </c>
      <c r="C8" s="568" t="s">
        <v>821</v>
      </c>
      <c r="D8" s="719" t="s">
        <v>822</v>
      </c>
      <c r="E8" s="725">
        <v>13104490</v>
      </c>
      <c r="F8" s="568" t="s">
        <v>302</v>
      </c>
      <c r="G8" s="568"/>
      <c r="H8" s="568">
        <v>1</v>
      </c>
      <c r="I8" s="568"/>
      <c r="J8" s="568">
        <v>1</v>
      </c>
      <c r="K8" s="568" t="s">
        <v>89</v>
      </c>
      <c r="L8" s="568">
        <v>351051</v>
      </c>
      <c r="M8" s="721" t="s">
        <v>823</v>
      </c>
      <c r="N8" s="568" t="s">
        <v>824</v>
      </c>
      <c r="O8" s="722" t="s">
        <v>825</v>
      </c>
      <c r="P8" s="568">
        <v>1</v>
      </c>
      <c r="Q8" s="726">
        <v>174500000</v>
      </c>
      <c r="R8" s="855">
        <f t="shared" si="0"/>
        <v>0</v>
      </c>
      <c r="S8" s="726">
        <v>174500000</v>
      </c>
      <c r="T8" s="568"/>
      <c r="U8" s="726"/>
      <c r="V8" s="723"/>
      <c r="W8" s="726">
        <v>150000000</v>
      </c>
      <c r="X8" s="568"/>
      <c r="Y8" s="568"/>
      <c r="Z8" s="568" t="s">
        <v>806</v>
      </c>
      <c r="AA8" s="568" t="s">
        <v>826</v>
      </c>
      <c r="AB8" s="247">
        <f>W8*1.3%</f>
        <v>1950000.0000000002</v>
      </c>
      <c r="AC8" s="247">
        <f t="shared" si="1"/>
        <v>157207207.2072072</v>
      </c>
      <c r="AD8" s="761"/>
      <c r="AE8" s="762" t="s">
        <v>775</v>
      </c>
      <c r="AF8" s="568" t="s">
        <v>775</v>
      </c>
      <c r="AG8" s="568" t="s">
        <v>775</v>
      </c>
      <c r="AH8" s="721">
        <v>807567</v>
      </c>
      <c r="AI8" s="743">
        <v>806422</v>
      </c>
      <c r="AJ8" s="728"/>
    </row>
    <row r="9" spans="1:36" s="258" customFormat="1" ht="20.100000000000001" customHeight="1">
      <c r="A9" s="724"/>
      <c r="B9" s="568"/>
      <c r="C9" s="568"/>
      <c r="D9" s="719"/>
      <c r="E9" s="725"/>
      <c r="F9" s="721"/>
      <c r="G9" s="568"/>
      <c r="H9" s="568"/>
      <c r="I9" s="568"/>
      <c r="J9" s="568"/>
      <c r="K9" s="721"/>
      <c r="L9" s="568"/>
      <c r="M9" s="721"/>
      <c r="N9" s="568"/>
      <c r="O9" s="722"/>
      <c r="P9" s="568"/>
      <c r="Q9" s="726"/>
      <c r="R9" s="855" t="e">
        <f t="shared" si="0"/>
        <v>#DIV/0!</v>
      </c>
      <c r="S9" s="726"/>
      <c r="T9" s="568"/>
      <c r="U9" s="726"/>
      <c r="V9" s="723"/>
      <c r="W9" s="726">
        <v>24500000</v>
      </c>
      <c r="X9" s="568"/>
      <c r="Y9" s="568"/>
      <c r="Z9" s="568" t="s">
        <v>806</v>
      </c>
      <c r="AA9" s="568" t="s">
        <v>826</v>
      </c>
      <c r="AB9" s="247">
        <f>W9*1.3%</f>
        <v>318500</v>
      </c>
      <c r="AC9" s="247">
        <f t="shared" si="1"/>
        <v>0</v>
      </c>
      <c r="AD9" s="761"/>
      <c r="AE9" s="762"/>
      <c r="AF9" s="568"/>
      <c r="AG9" s="568"/>
      <c r="AH9" s="721">
        <v>806856</v>
      </c>
      <c r="AI9" s="743"/>
      <c r="AJ9" s="733"/>
    </row>
    <row r="10" spans="1:36" s="258" customFormat="1" ht="20.100000000000001" customHeight="1">
      <c r="A10" s="727"/>
      <c r="B10" s="568"/>
      <c r="C10" s="568"/>
      <c r="D10" s="719"/>
      <c r="E10" s="725"/>
      <c r="F10" s="721"/>
      <c r="G10" s="568"/>
      <c r="H10" s="568"/>
      <c r="I10" s="568"/>
      <c r="J10" s="568"/>
      <c r="K10" s="721"/>
      <c r="L10" s="568"/>
      <c r="M10" s="721"/>
      <c r="N10" s="568"/>
      <c r="O10" s="722"/>
      <c r="P10" s="568"/>
      <c r="Q10" s="726"/>
      <c r="R10" s="855" t="e">
        <f t="shared" si="0"/>
        <v>#DIV/0!</v>
      </c>
      <c r="S10" s="726"/>
      <c r="T10" s="734"/>
      <c r="U10" s="726"/>
      <c r="V10" s="726"/>
      <c r="W10" s="726"/>
      <c r="X10" s="568"/>
      <c r="Y10" s="568"/>
      <c r="Z10" s="568"/>
      <c r="AA10" s="568"/>
      <c r="AB10" s="247">
        <f>W10*1.3%</f>
        <v>0</v>
      </c>
      <c r="AC10" s="247">
        <f t="shared" si="1"/>
        <v>0</v>
      </c>
      <c r="AD10" s="761"/>
      <c r="AE10" s="762"/>
      <c r="AF10" s="568"/>
      <c r="AG10" s="568"/>
      <c r="AH10" s="721">
        <v>807617</v>
      </c>
      <c r="AI10" s="743"/>
      <c r="AJ10" s="728"/>
    </row>
    <row r="11" spans="1:36" s="258" customFormat="1" ht="20.100000000000001" customHeight="1">
      <c r="A11" s="724"/>
      <c r="B11" s="728"/>
      <c r="C11" s="728"/>
      <c r="D11" s="719"/>
      <c r="E11" s="725"/>
      <c r="F11" s="568"/>
      <c r="G11" s="568"/>
      <c r="H11" s="568"/>
      <c r="I11" s="568"/>
      <c r="J11" s="568"/>
      <c r="K11" s="568"/>
      <c r="L11" s="568"/>
      <c r="M11" s="721"/>
      <c r="N11" s="568"/>
      <c r="O11" s="722"/>
      <c r="P11" s="568"/>
      <c r="Q11" s="726"/>
      <c r="R11" s="855" t="e">
        <f t="shared" si="0"/>
        <v>#DIV/0!</v>
      </c>
      <c r="S11" s="726"/>
      <c r="T11" s="568"/>
      <c r="U11" s="726"/>
      <c r="V11" s="723"/>
      <c r="W11" s="726"/>
      <c r="X11" s="568"/>
      <c r="Y11" s="568"/>
      <c r="Z11" s="568"/>
      <c r="AA11" s="568"/>
      <c r="AB11" s="247">
        <f>W11*7%</f>
        <v>0</v>
      </c>
      <c r="AC11" s="247">
        <f t="shared" si="1"/>
        <v>0</v>
      </c>
      <c r="AD11" s="761">
        <f>SUM(AC8:AC11)</f>
        <v>157207207.2072072</v>
      </c>
      <c r="AE11" s="762"/>
      <c r="AF11" s="568"/>
      <c r="AG11" s="568"/>
      <c r="AH11" s="721">
        <v>806422</v>
      </c>
      <c r="AI11" s="743"/>
      <c r="AJ11" s="568"/>
    </row>
    <row r="12" spans="1:36" s="258" customFormat="1" ht="20.100000000000001" customHeight="1">
      <c r="A12" s="718">
        <v>46268</v>
      </c>
      <c r="B12" s="568" t="s">
        <v>834</v>
      </c>
      <c r="C12" s="568" t="s">
        <v>835</v>
      </c>
      <c r="D12" s="719" t="s">
        <v>836</v>
      </c>
      <c r="E12" s="725">
        <v>13571594</v>
      </c>
      <c r="F12" s="568" t="s">
        <v>302</v>
      </c>
      <c r="G12" s="568"/>
      <c r="H12" s="568">
        <v>1</v>
      </c>
      <c r="I12" s="568"/>
      <c r="J12" s="568">
        <v>1</v>
      </c>
      <c r="K12" s="568" t="s">
        <v>89</v>
      </c>
      <c r="L12" s="568">
        <v>359949</v>
      </c>
      <c r="M12" s="721" t="s">
        <v>837</v>
      </c>
      <c r="N12" s="568" t="s">
        <v>838</v>
      </c>
      <c r="O12" s="722" t="s">
        <v>839</v>
      </c>
      <c r="P12" s="568">
        <v>1</v>
      </c>
      <c r="Q12" s="726">
        <v>107900000</v>
      </c>
      <c r="R12" s="855">
        <f t="shared" si="0"/>
        <v>0</v>
      </c>
      <c r="S12" s="726">
        <f>Q12</f>
        <v>107900000</v>
      </c>
      <c r="T12" s="892" t="s">
        <v>840</v>
      </c>
      <c r="U12" s="726"/>
      <c r="V12" s="723">
        <v>54400000</v>
      </c>
      <c r="W12" s="726">
        <v>51000000</v>
      </c>
      <c r="X12" s="568">
        <v>6612</v>
      </c>
      <c r="Y12" s="568"/>
      <c r="Z12" s="568" t="s">
        <v>806</v>
      </c>
      <c r="AA12" s="568" t="s">
        <v>841</v>
      </c>
      <c r="AB12" s="247">
        <f>W12*5%</f>
        <v>2550000</v>
      </c>
      <c r="AC12" s="247">
        <f t="shared" si="1"/>
        <v>97207207.207207203</v>
      </c>
      <c r="AD12" s="761"/>
      <c r="AE12" s="762" t="s">
        <v>766</v>
      </c>
      <c r="AF12" s="568" t="s">
        <v>766</v>
      </c>
      <c r="AG12" s="568" t="s">
        <v>766</v>
      </c>
      <c r="AH12" s="721">
        <v>807570</v>
      </c>
      <c r="AI12" s="743">
        <v>806422</v>
      </c>
      <c r="AJ12" s="892" t="s">
        <v>840</v>
      </c>
    </row>
    <row r="13" spans="1:36" s="258" customFormat="1" ht="20.100000000000001" customHeight="1">
      <c r="A13" s="718"/>
      <c r="B13" s="568"/>
      <c r="C13" s="568"/>
      <c r="D13" s="719"/>
      <c r="E13" s="720"/>
      <c r="F13" s="721"/>
      <c r="G13" s="568"/>
      <c r="H13" s="568"/>
      <c r="I13" s="568"/>
      <c r="J13" s="568"/>
      <c r="K13" s="721"/>
      <c r="L13" s="568"/>
      <c r="M13" s="721"/>
      <c r="N13" s="568"/>
      <c r="O13" s="722"/>
      <c r="P13" s="568"/>
      <c r="Q13" s="726"/>
      <c r="R13" s="855" t="e">
        <f t="shared" si="0"/>
        <v>#DIV/0!</v>
      </c>
      <c r="S13" s="726"/>
      <c r="T13" s="568"/>
      <c r="U13" s="726"/>
      <c r="V13" s="723"/>
      <c r="W13" s="726"/>
      <c r="X13" s="568"/>
      <c r="Y13" s="568"/>
      <c r="Z13" s="568"/>
      <c r="AA13" s="568"/>
      <c r="AB13" s="247">
        <f>W13*5%</f>
        <v>0</v>
      </c>
      <c r="AC13" s="247">
        <f t="shared" si="1"/>
        <v>0</v>
      </c>
      <c r="AD13" s="761"/>
      <c r="AE13" s="762"/>
      <c r="AF13" s="568"/>
      <c r="AG13" s="568"/>
      <c r="AH13" s="721">
        <v>806856</v>
      </c>
      <c r="AI13" s="743"/>
      <c r="AJ13" s="568"/>
    </row>
    <row r="14" spans="1:36" s="258" customFormat="1" ht="20.100000000000001" customHeight="1">
      <c r="A14" s="724"/>
      <c r="B14" s="568"/>
      <c r="C14" s="568"/>
      <c r="D14" s="719"/>
      <c r="E14" s="725"/>
      <c r="F14" s="721"/>
      <c r="G14" s="568"/>
      <c r="H14" s="568"/>
      <c r="I14" s="568"/>
      <c r="J14" s="568"/>
      <c r="K14" s="721"/>
      <c r="L14" s="568"/>
      <c r="M14" s="721"/>
      <c r="N14" s="568"/>
      <c r="O14" s="722"/>
      <c r="P14" s="568"/>
      <c r="Q14" s="726"/>
      <c r="R14" s="855" t="e">
        <f t="shared" si="0"/>
        <v>#DIV/0!</v>
      </c>
      <c r="S14" s="726"/>
      <c r="T14" s="568"/>
      <c r="U14" s="726"/>
      <c r="V14" s="723"/>
      <c r="W14" s="726"/>
      <c r="X14" s="568"/>
      <c r="Y14" s="568"/>
      <c r="Z14" s="568"/>
      <c r="AA14" s="568"/>
      <c r="AB14" s="247">
        <f>W14*3%</f>
        <v>0</v>
      </c>
      <c r="AC14" s="247">
        <f t="shared" si="1"/>
        <v>0</v>
      </c>
      <c r="AD14" s="761"/>
      <c r="AE14" s="762"/>
      <c r="AF14" s="568"/>
      <c r="AG14" s="568"/>
      <c r="AH14" s="721">
        <v>807617</v>
      </c>
      <c r="AI14" s="743"/>
      <c r="AJ14" s="734"/>
    </row>
    <row r="15" spans="1:36" s="258" customFormat="1" ht="20.100000000000001" customHeight="1">
      <c r="A15" s="724"/>
      <c r="B15" s="568" t="s">
        <v>842</v>
      </c>
      <c r="C15" s="568" t="s">
        <v>843</v>
      </c>
      <c r="D15" s="719" t="s">
        <v>844</v>
      </c>
      <c r="E15" s="725">
        <v>13664581</v>
      </c>
      <c r="F15" s="568" t="s">
        <v>302</v>
      </c>
      <c r="G15" s="568">
        <v>1</v>
      </c>
      <c r="H15" s="568"/>
      <c r="I15" s="568">
        <v>1</v>
      </c>
      <c r="J15" s="568"/>
      <c r="K15" s="568" t="s">
        <v>89</v>
      </c>
      <c r="L15" s="568">
        <v>360467</v>
      </c>
      <c r="M15" s="721" t="s">
        <v>845</v>
      </c>
      <c r="N15" s="568" t="s">
        <v>846</v>
      </c>
      <c r="O15" s="722" t="s">
        <v>853</v>
      </c>
      <c r="P15" s="568">
        <v>1</v>
      </c>
      <c r="Q15" s="726">
        <v>91700000</v>
      </c>
      <c r="R15" s="855">
        <f t="shared" si="0"/>
        <v>0</v>
      </c>
      <c r="S15" s="726">
        <f>Q15</f>
        <v>91700000</v>
      </c>
      <c r="T15" s="568"/>
      <c r="U15" s="726"/>
      <c r="V15" s="723">
        <f>S15+S16+S17+S18</f>
        <v>1004300000</v>
      </c>
      <c r="W15" s="726"/>
      <c r="X15" s="568"/>
      <c r="Y15" s="568" t="s">
        <v>806</v>
      </c>
      <c r="Z15" s="568"/>
      <c r="AA15" s="568"/>
      <c r="AB15" s="247">
        <f>W15*5%</f>
        <v>0</v>
      </c>
      <c r="AC15" s="247">
        <f t="shared" si="1"/>
        <v>82612612.612612605</v>
      </c>
      <c r="AD15" s="761"/>
      <c r="AE15" s="762" t="s">
        <v>767</v>
      </c>
      <c r="AF15" s="568" t="s">
        <v>767</v>
      </c>
      <c r="AG15" s="568" t="s">
        <v>767</v>
      </c>
      <c r="AH15" s="721">
        <v>807617</v>
      </c>
      <c r="AI15" s="743">
        <v>806422</v>
      </c>
      <c r="AJ15" s="734" t="s">
        <v>857</v>
      </c>
    </row>
    <row r="16" spans="1:36" s="831" customFormat="1" ht="20.100000000000001" customHeight="1">
      <c r="A16" s="718"/>
      <c r="B16" s="729"/>
      <c r="C16" s="729"/>
      <c r="D16" s="719"/>
      <c r="E16" s="720"/>
      <c r="F16" s="721"/>
      <c r="G16" s="729"/>
      <c r="H16" s="729"/>
      <c r="I16" s="729"/>
      <c r="J16" s="729"/>
      <c r="K16" s="568" t="s">
        <v>89</v>
      </c>
      <c r="L16" s="729">
        <v>361239</v>
      </c>
      <c r="M16" s="729" t="s">
        <v>847</v>
      </c>
      <c r="N16" s="729" t="s">
        <v>850</v>
      </c>
      <c r="O16" s="730" t="s">
        <v>854</v>
      </c>
      <c r="P16" s="729">
        <v>1</v>
      </c>
      <c r="Q16" s="731">
        <v>527700000</v>
      </c>
      <c r="R16" s="856">
        <f t="shared" si="0"/>
        <v>0</v>
      </c>
      <c r="S16" s="731">
        <f>Q16</f>
        <v>527700000</v>
      </c>
      <c r="T16" s="729"/>
      <c r="U16" s="731"/>
      <c r="V16" s="755"/>
      <c r="W16" s="731"/>
      <c r="X16" s="729"/>
      <c r="Y16" s="729"/>
      <c r="Z16" s="729"/>
      <c r="AA16" s="568"/>
      <c r="AB16" s="672">
        <f>W16*5%</f>
        <v>0</v>
      </c>
      <c r="AC16" s="672">
        <f t="shared" si="1"/>
        <v>475405405.40540534</v>
      </c>
      <c r="AD16" s="665"/>
      <c r="AE16" s="326"/>
      <c r="AF16" s="310"/>
      <c r="AG16" s="310"/>
      <c r="AH16" s="270">
        <v>806857</v>
      </c>
      <c r="AI16" s="743">
        <v>806422</v>
      </c>
      <c r="AJ16" s="663"/>
    </row>
    <row r="17" spans="1:36" s="831" customFormat="1" ht="20.100000000000001" customHeight="1">
      <c r="A17" s="724"/>
      <c r="B17" s="729"/>
      <c r="C17" s="729"/>
      <c r="D17" s="732"/>
      <c r="E17" s="720"/>
      <c r="F17" s="729"/>
      <c r="G17" s="729"/>
      <c r="H17" s="729"/>
      <c r="I17" s="729"/>
      <c r="J17" s="729"/>
      <c r="K17" s="568" t="s">
        <v>89</v>
      </c>
      <c r="L17" s="729">
        <v>361780</v>
      </c>
      <c r="M17" s="729" t="s">
        <v>848</v>
      </c>
      <c r="N17" s="729" t="s">
        <v>851</v>
      </c>
      <c r="O17" s="730" t="s">
        <v>855</v>
      </c>
      <c r="P17" s="729">
        <v>1</v>
      </c>
      <c r="Q17" s="731">
        <v>106000000</v>
      </c>
      <c r="R17" s="856">
        <f t="shared" si="0"/>
        <v>0</v>
      </c>
      <c r="S17" s="731">
        <f>Q17</f>
        <v>106000000</v>
      </c>
      <c r="T17" s="729"/>
      <c r="U17" s="731"/>
      <c r="V17" s="755"/>
      <c r="W17" s="731"/>
      <c r="X17" s="729"/>
      <c r="Y17" s="729"/>
      <c r="Z17" s="729"/>
      <c r="AA17" s="568"/>
      <c r="AB17" s="672">
        <f>W17*5%</f>
        <v>0</v>
      </c>
      <c r="AC17" s="672">
        <f t="shared" si="1"/>
        <v>95495495.495495483</v>
      </c>
      <c r="AD17" s="665"/>
      <c r="AE17" s="665"/>
      <c r="AF17" s="663"/>
      <c r="AG17" s="663"/>
      <c r="AH17" s="663">
        <v>806855</v>
      </c>
      <c r="AI17" s="743">
        <v>806422</v>
      </c>
      <c r="AJ17" s="663"/>
    </row>
    <row r="18" spans="1:36" s="831" customFormat="1" ht="20.100000000000001" customHeight="1">
      <c r="A18" s="724"/>
      <c r="B18" s="729"/>
      <c r="C18" s="729"/>
      <c r="D18" s="732"/>
      <c r="E18" s="720"/>
      <c r="F18" s="721"/>
      <c r="G18" s="729"/>
      <c r="H18" s="729"/>
      <c r="I18" s="729"/>
      <c r="J18" s="729"/>
      <c r="K18" s="568" t="s">
        <v>89</v>
      </c>
      <c r="L18" s="729">
        <v>360155</v>
      </c>
      <c r="M18" s="729" t="s">
        <v>849</v>
      </c>
      <c r="N18" s="729" t="s">
        <v>852</v>
      </c>
      <c r="O18" s="730" t="s">
        <v>856</v>
      </c>
      <c r="P18" s="729">
        <v>1</v>
      </c>
      <c r="Q18" s="731">
        <v>278900000</v>
      </c>
      <c r="R18" s="856">
        <f t="shared" si="0"/>
        <v>0</v>
      </c>
      <c r="S18" s="731">
        <f>Q18</f>
        <v>278900000</v>
      </c>
      <c r="T18" s="729"/>
      <c r="U18" s="731"/>
      <c r="V18" s="755"/>
      <c r="W18" s="731"/>
      <c r="X18" s="729"/>
      <c r="Y18" s="729"/>
      <c r="Z18" s="729"/>
      <c r="AA18" s="729"/>
      <c r="AB18" s="672">
        <f>W18*0.15%</f>
        <v>0</v>
      </c>
      <c r="AC18" s="672">
        <f t="shared" si="1"/>
        <v>251261261.26126122</v>
      </c>
      <c r="AD18" s="664"/>
      <c r="AE18" s="665"/>
      <c r="AF18" s="663"/>
      <c r="AG18" s="663"/>
      <c r="AH18" s="663">
        <v>807573</v>
      </c>
      <c r="AI18" s="743">
        <v>806422</v>
      </c>
      <c r="AJ18" s="663"/>
    </row>
    <row r="19" spans="1:36" s="831" customFormat="1" ht="20.100000000000001" customHeight="1">
      <c r="A19" s="724"/>
      <c r="B19" s="568"/>
      <c r="C19" s="568"/>
      <c r="D19" s="719"/>
      <c r="E19" s="720"/>
      <c r="F19" s="729"/>
      <c r="G19" s="568"/>
      <c r="H19" s="568"/>
      <c r="I19" s="568"/>
      <c r="J19" s="568"/>
      <c r="K19" s="568"/>
      <c r="L19" s="568"/>
      <c r="M19" s="733"/>
      <c r="N19" s="734"/>
      <c r="O19" s="735"/>
      <c r="P19" s="734"/>
      <c r="Q19" s="726"/>
      <c r="R19" s="857" t="e">
        <f t="shared" si="0"/>
        <v>#DIV/0!</v>
      </c>
      <c r="S19" s="726"/>
      <c r="T19" s="568"/>
      <c r="U19" s="726"/>
      <c r="V19" s="726"/>
      <c r="W19" s="726"/>
      <c r="X19" s="568"/>
      <c r="Y19" s="568"/>
      <c r="Z19" s="568"/>
      <c r="AA19" s="568"/>
      <c r="AB19" s="280">
        <f>W19*2.2%</f>
        <v>0</v>
      </c>
      <c r="AC19" s="280">
        <f t="shared" ref="AC19:AC55" si="2">(S19/1.11)</f>
        <v>0</v>
      </c>
      <c r="AD19" s="325"/>
      <c r="AE19" s="326"/>
      <c r="AF19" s="310"/>
      <c r="AG19" s="310"/>
      <c r="AH19" s="270">
        <v>807568</v>
      </c>
      <c r="AI19" s="375"/>
      <c r="AJ19" s="336"/>
    </row>
    <row r="20" spans="1:36" s="831" customFormat="1" ht="20.100000000000001" customHeight="1">
      <c r="A20" s="718"/>
      <c r="B20" s="568"/>
      <c r="C20" s="568"/>
      <c r="D20" s="719"/>
      <c r="E20" s="725"/>
      <c r="F20" s="721"/>
      <c r="G20" s="568"/>
      <c r="H20" s="568"/>
      <c r="I20" s="568"/>
      <c r="J20" s="568"/>
      <c r="K20" s="721"/>
      <c r="L20" s="568"/>
      <c r="M20" s="721"/>
      <c r="N20" s="568"/>
      <c r="O20" s="722"/>
      <c r="P20" s="568"/>
      <c r="Q20" s="726"/>
      <c r="R20" s="857" t="e">
        <f t="shared" si="0"/>
        <v>#DIV/0!</v>
      </c>
      <c r="S20" s="726"/>
      <c r="T20" s="733"/>
      <c r="U20" s="726"/>
      <c r="V20" s="723"/>
      <c r="W20" s="726"/>
      <c r="X20" s="568"/>
      <c r="Y20" s="568"/>
      <c r="Z20" s="568"/>
      <c r="AA20" s="568"/>
      <c r="AB20" s="280">
        <f>W20*1.3%</f>
        <v>0</v>
      </c>
      <c r="AC20" s="280">
        <f t="shared" si="2"/>
        <v>0</v>
      </c>
      <c r="AD20" s="325"/>
      <c r="AE20" s="326"/>
      <c r="AF20" s="310"/>
      <c r="AG20" s="310"/>
      <c r="AH20" s="270">
        <v>807570</v>
      </c>
      <c r="AI20" s="375"/>
      <c r="AJ20" s="336"/>
    </row>
    <row r="21" spans="1:36" s="831" customFormat="1" ht="20.100000000000001" customHeight="1">
      <c r="A21" s="718"/>
      <c r="B21" s="568"/>
      <c r="C21" s="568"/>
      <c r="D21" s="719"/>
      <c r="E21" s="725"/>
      <c r="F21" s="721"/>
      <c r="G21" s="568"/>
      <c r="H21" s="568"/>
      <c r="I21" s="568"/>
      <c r="J21" s="568"/>
      <c r="K21" s="721"/>
      <c r="L21" s="568"/>
      <c r="M21" s="721"/>
      <c r="N21" s="568"/>
      <c r="O21" s="722"/>
      <c r="P21" s="568"/>
      <c r="Q21" s="726"/>
      <c r="R21" s="857" t="e">
        <f t="shared" si="0"/>
        <v>#DIV/0!</v>
      </c>
      <c r="S21" s="726"/>
      <c r="T21" s="568"/>
      <c r="U21" s="726"/>
      <c r="V21" s="723"/>
      <c r="W21" s="726"/>
      <c r="X21" s="568"/>
      <c r="Y21" s="568"/>
      <c r="Z21" s="568"/>
      <c r="AA21" s="568"/>
      <c r="AB21" s="280">
        <f>W21*2.25%</f>
        <v>0</v>
      </c>
      <c r="AC21" s="280">
        <f t="shared" si="2"/>
        <v>0</v>
      </c>
      <c r="AD21" s="325"/>
      <c r="AE21" s="326"/>
      <c r="AF21" s="310"/>
      <c r="AG21" s="310"/>
      <c r="AH21" s="270">
        <v>807566</v>
      </c>
      <c r="AI21" s="375"/>
      <c r="AJ21" s="336"/>
    </row>
    <row r="22" spans="1:36" s="831" customFormat="1" ht="20.100000000000001" customHeight="1">
      <c r="A22" s="727"/>
      <c r="B22" s="568" t="s">
        <v>864</v>
      </c>
      <c r="C22" s="568" t="s">
        <v>865</v>
      </c>
      <c r="D22" s="719" t="s">
        <v>829</v>
      </c>
      <c r="E22" s="725">
        <v>13367243</v>
      </c>
      <c r="F22" s="568" t="s">
        <v>302</v>
      </c>
      <c r="G22" s="568"/>
      <c r="H22" s="568">
        <v>1</v>
      </c>
      <c r="I22" s="568"/>
      <c r="J22" s="568">
        <v>1</v>
      </c>
      <c r="K22" s="568" t="s">
        <v>89</v>
      </c>
      <c r="L22" s="568">
        <v>345209</v>
      </c>
      <c r="M22" s="721" t="s">
        <v>866</v>
      </c>
      <c r="N22" s="568" t="s">
        <v>867</v>
      </c>
      <c r="O22" s="722" t="s">
        <v>868</v>
      </c>
      <c r="P22" s="568">
        <v>1</v>
      </c>
      <c r="Q22" s="726">
        <v>574000000</v>
      </c>
      <c r="R22" s="857">
        <f t="shared" si="0"/>
        <v>0</v>
      </c>
      <c r="S22" s="726">
        <v>574000000</v>
      </c>
      <c r="T22" s="568"/>
      <c r="U22" s="726" t="s">
        <v>869</v>
      </c>
      <c r="V22" s="723"/>
      <c r="W22" s="726"/>
      <c r="X22" s="568"/>
      <c r="Y22" s="568"/>
      <c r="Z22" s="568"/>
      <c r="AA22" s="568"/>
      <c r="AB22" s="280">
        <f>W22*1.5%</f>
        <v>0</v>
      </c>
      <c r="AC22" s="280">
        <f t="shared" si="2"/>
        <v>517117117.11711705</v>
      </c>
      <c r="AD22" s="325"/>
      <c r="AE22" s="326" t="s">
        <v>769</v>
      </c>
      <c r="AF22" s="310" t="s">
        <v>769</v>
      </c>
      <c r="AG22" s="310" t="s">
        <v>769</v>
      </c>
      <c r="AH22" s="270">
        <v>807617</v>
      </c>
      <c r="AI22" s="375">
        <v>806422</v>
      </c>
      <c r="AJ22" s="336" t="s">
        <v>863</v>
      </c>
    </row>
    <row r="23" spans="1:36" s="831" customFormat="1" ht="20.100000000000001" customHeight="1">
      <c r="A23" s="724"/>
      <c r="B23" s="568"/>
      <c r="C23" s="568"/>
      <c r="D23" s="719"/>
      <c r="E23" s="725"/>
      <c r="F23" s="721"/>
      <c r="G23" s="568"/>
      <c r="H23" s="568"/>
      <c r="I23" s="568"/>
      <c r="J23" s="568"/>
      <c r="K23" s="721"/>
      <c r="L23" s="568"/>
      <c r="M23" s="568"/>
      <c r="N23" s="568"/>
      <c r="O23" s="722"/>
      <c r="P23" s="568"/>
      <c r="Q23" s="726"/>
      <c r="R23" s="857" t="e">
        <f t="shared" si="0"/>
        <v>#DIV/0!</v>
      </c>
      <c r="S23" s="726"/>
      <c r="T23" s="568"/>
      <c r="U23" s="726"/>
      <c r="V23" s="723"/>
      <c r="W23" s="726"/>
      <c r="X23" s="568"/>
      <c r="Y23" s="568"/>
      <c r="Z23" s="568"/>
      <c r="AA23" s="568"/>
      <c r="AB23" s="280">
        <f>W23*1.4%</f>
        <v>0</v>
      </c>
      <c r="AC23" s="280">
        <f t="shared" si="2"/>
        <v>0</v>
      </c>
      <c r="AD23" s="325"/>
      <c r="AE23" s="326"/>
      <c r="AF23" s="310"/>
      <c r="AG23" s="310"/>
      <c r="AH23" s="270">
        <v>806857</v>
      </c>
      <c r="AI23" s="375"/>
      <c r="AJ23" s="832" t="s">
        <v>935</v>
      </c>
    </row>
    <row r="24" spans="1:36" s="831" customFormat="1" ht="20.100000000000001" customHeight="1">
      <c r="A24" s="736"/>
      <c r="B24" s="737"/>
      <c r="C24" s="737"/>
      <c r="D24" s="738"/>
      <c r="E24" s="725"/>
      <c r="F24" s="721"/>
      <c r="G24" s="737"/>
      <c r="H24" s="737"/>
      <c r="I24" s="737"/>
      <c r="J24" s="737"/>
      <c r="K24" s="721"/>
      <c r="L24" s="737"/>
      <c r="M24" s="721"/>
      <c r="N24" s="737"/>
      <c r="O24" s="739"/>
      <c r="P24" s="737"/>
      <c r="Q24" s="740"/>
      <c r="R24" s="857" t="e">
        <f t="shared" si="0"/>
        <v>#DIV/0!</v>
      </c>
      <c r="S24" s="740"/>
      <c r="T24" s="737"/>
      <c r="U24" s="740"/>
      <c r="V24" s="756"/>
      <c r="W24" s="740"/>
      <c r="X24" s="737"/>
      <c r="Y24" s="737"/>
      <c r="Z24" s="737"/>
      <c r="AA24" s="568"/>
      <c r="AB24" s="280">
        <f>W24*1.5%</f>
        <v>0</v>
      </c>
      <c r="AC24" s="280">
        <f t="shared" si="2"/>
        <v>0</v>
      </c>
      <c r="AD24" s="282"/>
      <c r="AE24" s="283"/>
      <c r="AF24" s="284"/>
      <c r="AG24" s="284"/>
      <c r="AH24" s="270">
        <v>806856</v>
      </c>
      <c r="AI24" s="375"/>
      <c r="AJ24" s="269"/>
    </row>
    <row r="25" spans="1:36" s="831" customFormat="1" ht="20.100000000000001" customHeight="1">
      <c r="A25" s="736"/>
      <c r="B25" s="737"/>
      <c r="C25" s="737"/>
      <c r="D25" s="738"/>
      <c r="E25" s="720"/>
      <c r="F25" s="721"/>
      <c r="G25" s="737"/>
      <c r="H25" s="737"/>
      <c r="I25" s="737"/>
      <c r="J25" s="737"/>
      <c r="K25" s="737"/>
      <c r="L25" s="737"/>
      <c r="M25" s="721"/>
      <c r="N25" s="737"/>
      <c r="O25" s="739"/>
      <c r="P25" s="737"/>
      <c r="Q25" s="740"/>
      <c r="R25" s="857" t="e">
        <f t="shared" si="0"/>
        <v>#DIV/0!</v>
      </c>
      <c r="S25" s="740"/>
      <c r="T25" s="737"/>
      <c r="U25" s="740"/>
      <c r="V25" s="756"/>
      <c r="W25" s="740"/>
      <c r="X25" s="737"/>
      <c r="Y25" s="737"/>
      <c r="Z25" s="737"/>
      <c r="AA25" s="568"/>
      <c r="AB25" s="280">
        <f>W25*1.3%</f>
        <v>0</v>
      </c>
      <c r="AC25" s="280">
        <f t="shared" si="2"/>
        <v>0</v>
      </c>
      <c r="AD25" s="282"/>
      <c r="AE25" s="283"/>
      <c r="AF25" s="284"/>
      <c r="AG25" s="284"/>
      <c r="AH25" s="270">
        <v>808138</v>
      </c>
      <c r="AI25" s="375"/>
      <c r="AJ25" s="335"/>
    </row>
    <row r="26" spans="1:36" s="831" customFormat="1" ht="20.100000000000001" customHeight="1">
      <c r="A26" s="736"/>
      <c r="B26" s="737" t="s">
        <v>870</v>
      </c>
      <c r="C26" s="737" t="s">
        <v>871</v>
      </c>
      <c r="D26" s="738" t="s">
        <v>872</v>
      </c>
      <c r="E26" s="725">
        <v>13167381</v>
      </c>
      <c r="F26" s="568" t="s">
        <v>302</v>
      </c>
      <c r="G26" s="737"/>
      <c r="H26" s="737">
        <v>1</v>
      </c>
      <c r="I26" s="737"/>
      <c r="J26" s="737">
        <v>1</v>
      </c>
      <c r="K26" s="568" t="s">
        <v>89</v>
      </c>
      <c r="L26" s="737">
        <v>360153</v>
      </c>
      <c r="M26" s="721" t="s">
        <v>849</v>
      </c>
      <c r="N26" s="737" t="s">
        <v>873</v>
      </c>
      <c r="O26" s="739" t="s">
        <v>874</v>
      </c>
      <c r="P26" s="737">
        <v>1</v>
      </c>
      <c r="Q26" s="740">
        <v>273000000</v>
      </c>
      <c r="R26" s="857">
        <f t="shared" si="0"/>
        <v>0</v>
      </c>
      <c r="S26" s="740">
        <v>273000000</v>
      </c>
      <c r="T26" s="737"/>
      <c r="U26" s="740" t="s">
        <v>875</v>
      </c>
      <c r="V26" s="756"/>
      <c r="W26" s="740"/>
      <c r="X26" s="737"/>
      <c r="Y26" s="737"/>
      <c r="Z26" s="737"/>
      <c r="AA26" s="568"/>
      <c r="AB26" s="280">
        <f>W26*0.15%</f>
        <v>0</v>
      </c>
      <c r="AC26" s="280">
        <f t="shared" si="2"/>
        <v>245945945.94594592</v>
      </c>
      <c r="AD26" s="282"/>
      <c r="AE26" s="283" t="s">
        <v>796</v>
      </c>
      <c r="AF26" s="284" t="s">
        <v>796</v>
      </c>
      <c r="AG26" s="284" t="s">
        <v>796</v>
      </c>
      <c r="AH26" s="270">
        <v>806857</v>
      </c>
      <c r="AI26" s="375">
        <v>806422</v>
      </c>
      <c r="AJ26" s="284"/>
    </row>
    <row r="27" spans="1:36" s="831" customFormat="1" ht="20.100000000000001" customHeight="1">
      <c r="A27" s="736"/>
      <c r="B27" s="737"/>
      <c r="C27" s="568"/>
      <c r="D27" s="738"/>
      <c r="E27" s="725"/>
      <c r="F27" s="721"/>
      <c r="G27" s="737"/>
      <c r="H27" s="737"/>
      <c r="I27" s="737"/>
      <c r="J27" s="737"/>
      <c r="K27" s="737"/>
      <c r="L27" s="737"/>
      <c r="M27" s="721"/>
      <c r="N27" s="737"/>
      <c r="O27" s="739"/>
      <c r="P27" s="737"/>
      <c r="Q27" s="740"/>
      <c r="R27" s="857" t="e">
        <f t="shared" si="0"/>
        <v>#DIV/0!</v>
      </c>
      <c r="S27" s="740"/>
      <c r="T27" s="737"/>
      <c r="U27" s="740"/>
      <c r="V27" s="756"/>
      <c r="W27" s="740"/>
      <c r="X27" s="737"/>
      <c r="Y27" s="737"/>
      <c r="Z27" s="737"/>
      <c r="AA27" s="568"/>
      <c r="AB27" s="280">
        <f>W27*1.5%</f>
        <v>0</v>
      </c>
      <c r="AC27" s="280">
        <f t="shared" si="2"/>
        <v>0</v>
      </c>
      <c r="AD27" s="282"/>
      <c r="AE27" s="283"/>
      <c r="AF27" s="284"/>
      <c r="AG27" s="284"/>
      <c r="AH27" s="270">
        <v>807617</v>
      </c>
      <c r="AI27" s="373"/>
      <c r="AJ27" s="284"/>
    </row>
    <row r="28" spans="1:36" s="831" customFormat="1" ht="20.100000000000001" customHeight="1">
      <c r="A28" s="736"/>
      <c r="B28" s="737"/>
      <c r="C28" s="737"/>
      <c r="D28" s="738"/>
      <c r="E28" s="725"/>
      <c r="F28" s="721"/>
      <c r="G28" s="737"/>
      <c r="H28" s="737"/>
      <c r="I28" s="737"/>
      <c r="J28" s="737"/>
      <c r="K28" s="737"/>
      <c r="L28" s="737"/>
      <c r="M28" s="733"/>
      <c r="N28" s="737"/>
      <c r="O28" s="842"/>
      <c r="P28" s="737"/>
      <c r="Q28" s="740"/>
      <c r="R28" s="857" t="e">
        <f t="shared" si="0"/>
        <v>#DIV/0!</v>
      </c>
      <c r="S28" s="740"/>
      <c r="T28" s="737"/>
      <c r="U28" s="740"/>
      <c r="V28" s="756"/>
      <c r="W28" s="740"/>
      <c r="X28" s="737"/>
      <c r="Y28" s="737"/>
      <c r="Z28" s="737"/>
      <c r="AA28" s="568"/>
      <c r="AB28" s="280">
        <f>W28*1.5%</f>
        <v>0</v>
      </c>
      <c r="AC28" s="280">
        <f t="shared" si="2"/>
        <v>0</v>
      </c>
      <c r="AD28" s="282">
        <f>SUM(AC12:AC28)</f>
        <v>1765045045.0450449</v>
      </c>
      <c r="AE28" s="283"/>
      <c r="AF28" s="284"/>
      <c r="AG28" s="284"/>
      <c r="AH28" s="270">
        <v>807568</v>
      </c>
      <c r="AI28" s="373"/>
      <c r="AJ28" s="284"/>
    </row>
    <row r="29" spans="1:36" s="831" customFormat="1" ht="20.100000000000001" customHeight="1">
      <c r="A29" s="718">
        <v>46269</v>
      </c>
      <c r="B29" s="737" t="s">
        <v>884</v>
      </c>
      <c r="C29" s="737" t="s">
        <v>885</v>
      </c>
      <c r="D29" s="738" t="s">
        <v>886</v>
      </c>
      <c r="E29" s="725">
        <v>13667214</v>
      </c>
      <c r="F29" s="568" t="s">
        <v>302</v>
      </c>
      <c r="G29" s="737"/>
      <c r="H29" s="737"/>
      <c r="I29" s="737"/>
      <c r="J29" s="737"/>
      <c r="K29" s="729"/>
      <c r="L29" s="737"/>
      <c r="M29" s="733" t="s">
        <v>804</v>
      </c>
      <c r="N29" s="737"/>
      <c r="O29" s="739" t="s">
        <v>887</v>
      </c>
      <c r="P29" s="737"/>
      <c r="Q29" s="740"/>
      <c r="R29" s="857" t="e">
        <f t="shared" si="0"/>
        <v>#DIV/0!</v>
      </c>
      <c r="S29" s="740"/>
      <c r="T29" s="737"/>
      <c r="U29" s="740"/>
      <c r="V29" s="756">
        <v>14800000</v>
      </c>
      <c r="W29" s="740"/>
      <c r="X29" s="737"/>
      <c r="Y29" s="737" t="s">
        <v>806</v>
      </c>
      <c r="Z29" s="737"/>
      <c r="AA29" s="568"/>
      <c r="AB29" s="280">
        <f>W29*1.4%</f>
        <v>0</v>
      </c>
      <c r="AC29" s="280">
        <f t="shared" si="2"/>
        <v>0</v>
      </c>
      <c r="AD29" s="282"/>
      <c r="AE29" s="283" t="s">
        <v>781</v>
      </c>
      <c r="AF29" s="284" t="s">
        <v>781</v>
      </c>
      <c r="AG29" s="284"/>
      <c r="AH29" s="270"/>
      <c r="AI29" s="373"/>
      <c r="AJ29" s="335"/>
    </row>
    <row r="30" spans="1:36" s="831" customFormat="1" ht="19.5" customHeight="1">
      <c r="A30" s="736"/>
      <c r="B30" s="737" t="s">
        <v>888</v>
      </c>
      <c r="C30" s="737" t="s">
        <v>889</v>
      </c>
      <c r="D30" s="738" t="s">
        <v>890</v>
      </c>
      <c r="E30" s="725">
        <v>13322899</v>
      </c>
      <c r="F30" s="568" t="s">
        <v>302</v>
      </c>
      <c r="G30" s="737"/>
      <c r="H30" s="737">
        <v>1</v>
      </c>
      <c r="I30" s="737"/>
      <c r="J30" s="737">
        <v>1</v>
      </c>
      <c r="K30" s="568" t="s">
        <v>89</v>
      </c>
      <c r="L30" s="737">
        <v>348320</v>
      </c>
      <c r="M30" s="721" t="s">
        <v>891</v>
      </c>
      <c r="N30" s="737" t="s">
        <v>893</v>
      </c>
      <c r="O30" s="739" t="s">
        <v>895</v>
      </c>
      <c r="P30" s="737">
        <v>1</v>
      </c>
      <c r="Q30" s="740">
        <v>792300000</v>
      </c>
      <c r="R30" s="862">
        <f t="shared" si="0"/>
        <v>10</v>
      </c>
      <c r="S30" s="740">
        <v>713070000</v>
      </c>
      <c r="T30" s="863" t="s">
        <v>897</v>
      </c>
      <c r="U30" s="740"/>
      <c r="V30" s="756">
        <f>S30+S31</f>
        <v>1490490000</v>
      </c>
      <c r="W30" s="740"/>
      <c r="X30" s="737">
        <v>6613</v>
      </c>
      <c r="Y30" s="737"/>
      <c r="Z30" s="737"/>
      <c r="AA30" s="568"/>
      <c r="AB30" s="280">
        <f>W30*1.3%</f>
        <v>0</v>
      </c>
      <c r="AC30" s="280">
        <f t="shared" si="2"/>
        <v>642405405.4054054</v>
      </c>
      <c r="AD30" s="282"/>
      <c r="AE30" s="283" t="s">
        <v>766</v>
      </c>
      <c r="AF30" s="284" t="s">
        <v>766</v>
      </c>
      <c r="AG30" s="284" t="s">
        <v>766</v>
      </c>
      <c r="AH30" s="270">
        <v>808138</v>
      </c>
      <c r="AI30" s="375">
        <v>806422</v>
      </c>
      <c r="AJ30" s="336" t="s">
        <v>863</v>
      </c>
    </row>
    <row r="31" spans="1:36" s="831" customFormat="1" ht="20.100000000000001" customHeight="1">
      <c r="A31" s="727"/>
      <c r="B31" s="737"/>
      <c r="C31" s="737"/>
      <c r="D31" s="738"/>
      <c r="E31" s="725"/>
      <c r="F31" s="721"/>
      <c r="G31" s="737"/>
      <c r="H31" s="737"/>
      <c r="I31" s="737"/>
      <c r="J31" s="737"/>
      <c r="K31" s="568" t="s">
        <v>89</v>
      </c>
      <c r="L31" s="737">
        <v>347594</v>
      </c>
      <c r="M31" s="721" t="s">
        <v>892</v>
      </c>
      <c r="N31" s="737" t="s">
        <v>894</v>
      </c>
      <c r="O31" s="739" t="s">
        <v>896</v>
      </c>
      <c r="P31" s="737">
        <v>1</v>
      </c>
      <c r="Q31" s="740">
        <v>863800000</v>
      </c>
      <c r="R31" s="862">
        <f t="shared" si="0"/>
        <v>10</v>
      </c>
      <c r="S31" s="740">
        <v>777420000</v>
      </c>
      <c r="T31" s="733"/>
      <c r="U31" s="740"/>
      <c r="V31" s="756"/>
      <c r="W31" s="740"/>
      <c r="X31" s="737"/>
      <c r="Y31" s="721"/>
      <c r="Z31" s="737"/>
      <c r="AA31" s="568"/>
      <c r="AB31" s="280">
        <f>W31*1.3%</f>
        <v>0</v>
      </c>
      <c r="AC31" s="280">
        <f t="shared" si="2"/>
        <v>700378378.37837827</v>
      </c>
      <c r="AD31" s="282"/>
      <c r="AE31" s="283"/>
      <c r="AF31" s="284"/>
      <c r="AG31" s="284"/>
      <c r="AH31" s="270">
        <v>807570</v>
      </c>
      <c r="AI31" s="375">
        <v>806422</v>
      </c>
      <c r="AJ31" s="336"/>
    </row>
    <row r="32" spans="1:36" s="831" customFormat="1" ht="20.100000000000001" customHeight="1">
      <c r="A32" s="718"/>
      <c r="B32" s="737"/>
      <c r="C32" s="737"/>
      <c r="D32" s="738"/>
      <c r="E32" s="725"/>
      <c r="F32" s="721"/>
      <c r="G32" s="737"/>
      <c r="H32" s="737"/>
      <c r="I32" s="737"/>
      <c r="J32" s="737"/>
      <c r="K32" s="721"/>
      <c r="L32" s="737"/>
      <c r="M32" s="721"/>
      <c r="N32" s="737"/>
      <c r="O32" s="739"/>
      <c r="P32" s="737"/>
      <c r="Q32" s="740"/>
      <c r="R32" s="857" t="e">
        <f t="shared" si="0"/>
        <v>#DIV/0!</v>
      </c>
      <c r="S32" s="740"/>
      <c r="T32" s="737"/>
      <c r="U32" s="740"/>
      <c r="V32" s="756"/>
      <c r="W32" s="740"/>
      <c r="X32" s="737"/>
      <c r="Y32" s="721"/>
      <c r="Z32" s="737"/>
      <c r="AA32" s="568"/>
      <c r="AB32" s="280">
        <f>W32*2.25%</f>
        <v>0</v>
      </c>
      <c r="AC32" s="280">
        <f t="shared" si="2"/>
        <v>0</v>
      </c>
      <c r="AD32" s="282"/>
      <c r="AE32" s="283"/>
      <c r="AF32" s="284"/>
      <c r="AG32" s="284"/>
      <c r="AH32" s="270">
        <v>804190</v>
      </c>
      <c r="AI32" s="375"/>
      <c r="AJ32" s="284"/>
    </row>
    <row r="33" spans="1:36" s="831" customFormat="1" ht="20.100000000000001" customHeight="1">
      <c r="A33" s="736"/>
      <c r="B33" s="737"/>
      <c r="C33" s="737"/>
      <c r="D33" s="738"/>
      <c r="E33" s="725"/>
      <c r="F33" s="721"/>
      <c r="G33" s="737"/>
      <c r="H33" s="737"/>
      <c r="I33" s="737"/>
      <c r="J33" s="737"/>
      <c r="K33" s="737"/>
      <c r="L33" s="737"/>
      <c r="M33" s="754"/>
      <c r="N33" s="737"/>
      <c r="O33" s="842"/>
      <c r="P33" s="737"/>
      <c r="Q33" s="740"/>
      <c r="R33" s="857" t="e">
        <f t="shared" si="0"/>
        <v>#DIV/0!</v>
      </c>
      <c r="S33" s="740"/>
      <c r="T33" s="737"/>
      <c r="U33" s="740"/>
      <c r="V33" s="756"/>
      <c r="W33" s="740"/>
      <c r="X33" s="737"/>
      <c r="Y33" s="737"/>
      <c r="Z33" s="737"/>
      <c r="AA33" s="568"/>
      <c r="AB33" s="280">
        <f>W33*0.15%</f>
        <v>0</v>
      </c>
      <c r="AC33" s="280">
        <f t="shared" si="2"/>
        <v>0</v>
      </c>
      <c r="AD33" s="282"/>
      <c r="AE33" s="283"/>
      <c r="AF33" s="284"/>
      <c r="AG33" s="284"/>
      <c r="AH33" s="270">
        <v>806857</v>
      </c>
      <c r="AI33" s="373"/>
      <c r="AJ33" s="335"/>
    </row>
    <row r="34" spans="1:36" s="831" customFormat="1" ht="20.100000000000001" customHeight="1">
      <c r="A34" s="736"/>
      <c r="B34" s="737"/>
      <c r="C34" s="737"/>
      <c r="D34" s="738"/>
      <c r="E34" s="725"/>
      <c r="F34" s="721"/>
      <c r="G34" s="737"/>
      <c r="H34" s="737"/>
      <c r="I34" s="737"/>
      <c r="J34" s="737"/>
      <c r="K34" s="737"/>
      <c r="L34" s="737"/>
      <c r="M34" s="721"/>
      <c r="N34" s="737"/>
      <c r="O34" s="739"/>
      <c r="P34" s="737"/>
      <c r="Q34" s="740"/>
      <c r="R34" s="857" t="e">
        <f t="shared" si="0"/>
        <v>#DIV/0!</v>
      </c>
      <c r="S34" s="740"/>
      <c r="T34" s="737"/>
      <c r="U34" s="740"/>
      <c r="V34" s="756"/>
      <c r="W34" s="740"/>
      <c r="X34" s="737"/>
      <c r="Y34" s="737"/>
      <c r="Z34" s="737"/>
      <c r="AA34" s="568"/>
      <c r="AB34" s="280">
        <f>W34*0.15%</f>
        <v>0</v>
      </c>
      <c r="AC34" s="280">
        <f t="shared" si="2"/>
        <v>0</v>
      </c>
      <c r="AD34" s="282"/>
      <c r="AE34" s="283"/>
      <c r="AF34" s="284"/>
      <c r="AG34" s="284"/>
      <c r="AH34" s="270">
        <v>807617</v>
      </c>
      <c r="AI34" s="375"/>
      <c r="AJ34" s="284"/>
    </row>
    <row r="35" spans="1:36" s="831" customFormat="1" ht="20.100000000000001" customHeight="1">
      <c r="A35" s="736"/>
      <c r="B35" s="737"/>
      <c r="C35" s="737"/>
      <c r="D35" s="738"/>
      <c r="E35" s="725"/>
      <c r="F35" s="737"/>
      <c r="G35" s="737"/>
      <c r="H35" s="737"/>
      <c r="I35" s="737"/>
      <c r="J35" s="737"/>
      <c r="K35" s="737"/>
      <c r="L35" s="737"/>
      <c r="M35" s="721"/>
      <c r="N35" s="737"/>
      <c r="O35" s="739"/>
      <c r="P35" s="737"/>
      <c r="Q35" s="740"/>
      <c r="R35" s="857" t="e">
        <f t="shared" si="0"/>
        <v>#DIV/0!</v>
      </c>
      <c r="S35" s="740"/>
      <c r="T35" s="737"/>
      <c r="U35" s="740"/>
      <c r="V35" s="756"/>
      <c r="W35" s="740"/>
      <c r="X35" s="737"/>
      <c r="Y35" s="737"/>
      <c r="Z35" s="737"/>
      <c r="AA35" s="568"/>
      <c r="AB35" s="280">
        <f>W35*1.5%</f>
        <v>0</v>
      </c>
      <c r="AC35" s="280">
        <f t="shared" si="2"/>
        <v>0</v>
      </c>
      <c r="AD35" s="282">
        <f>SUM(AC29:AC35)</f>
        <v>1342783783.7837837</v>
      </c>
      <c r="AE35" s="283"/>
      <c r="AF35" s="284"/>
      <c r="AG35" s="284"/>
      <c r="AH35" s="270">
        <v>807617</v>
      </c>
      <c r="AI35" s="373"/>
      <c r="AJ35" s="284"/>
    </row>
    <row r="36" spans="1:36" s="831" customFormat="1" ht="20.100000000000001" customHeight="1">
      <c r="A36" s="718">
        <v>46270</v>
      </c>
      <c r="B36" s="737" t="s">
        <v>910</v>
      </c>
      <c r="C36" s="737" t="s">
        <v>911</v>
      </c>
      <c r="D36" s="738" t="s">
        <v>912</v>
      </c>
      <c r="E36" s="725">
        <v>13668547</v>
      </c>
      <c r="F36" s="568" t="s">
        <v>302</v>
      </c>
      <c r="G36" s="737">
        <v>1</v>
      </c>
      <c r="H36" s="737"/>
      <c r="I36" s="737">
        <v>1</v>
      </c>
      <c r="J36" s="737"/>
      <c r="K36" s="897" t="s">
        <v>95</v>
      </c>
      <c r="L36" s="737">
        <v>42504</v>
      </c>
      <c r="M36" s="721" t="s">
        <v>95</v>
      </c>
      <c r="N36" s="737">
        <f>L36</f>
        <v>42504</v>
      </c>
      <c r="O36" s="739" t="s">
        <v>913</v>
      </c>
      <c r="P36" s="737">
        <v>1</v>
      </c>
      <c r="Q36" s="740">
        <v>2120000</v>
      </c>
      <c r="R36" s="858">
        <f t="shared" si="0"/>
        <v>0</v>
      </c>
      <c r="S36" s="740">
        <f>Q36</f>
        <v>2120000</v>
      </c>
      <c r="T36" s="737"/>
      <c r="U36" s="740"/>
      <c r="V36" s="756"/>
      <c r="W36" s="740">
        <v>48820000</v>
      </c>
      <c r="X36" s="737"/>
      <c r="Y36" s="737"/>
      <c r="Z36" s="737" t="s">
        <v>917</v>
      </c>
      <c r="AA36" s="568" t="s">
        <v>918</v>
      </c>
      <c r="AB36" s="280">
        <f>W36*5%</f>
        <v>2441000</v>
      </c>
      <c r="AC36" s="280">
        <f t="shared" si="2"/>
        <v>1909909.9099099098</v>
      </c>
      <c r="AD36" s="282"/>
      <c r="AE36" s="283" t="s">
        <v>768</v>
      </c>
      <c r="AF36" s="284" t="s">
        <v>768</v>
      </c>
      <c r="AG36" s="284" t="s">
        <v>768</v>
      </c>
      <c r="AH36" s="270">
        <v>807567</v>
      </c>
      <c r="AI36" s="375">
        <v>806422</v>
      </c>
      <c r="AJ36" s="284"/>
    </row>
    <row r="37" spans="1:36" s="879" customFormat="1" ht="20.100000000000001" customHeight="1">
      <c r="A37" s="865"/>
      <c r="B37" s="866"/>
      <c r="C37" s="866"/>
      <c r="D37" s="867"/>
      <c r="E37" s="868"/>
      <c r="F37" s="864"/>
      <c r="G37" s="866"/>
      <c r="H37" s="866"/>
      <c r="I37" s="866"/>
      <c r="J37" s="866"/>
      <c r="K37" s="864" t="s">
        <v>89</v>
      </c>
      <c r="L37" s="866">
        <v>357255</v>
      </c>
      <c r="M37" s="864" t="s">
        <v>914</v>
      </c>
      <c r="N37" s="866" t="s">
        <v>915</v>
      </c>
      <c r="O37" s="869" t="s">
        <v>916</v>
      </c>
      <c r="P37" s="866">
        <v>1</v>
      </c>
      <c r="Q37" s="870">
        <v>46700000</v>
      </c>
      <c r="R37" s="857">
        <f t="shared" ref="R37:R40" si="3">(Q37-S37)/Q37*100</f>
        <v>0</v>
      </c>
      <c r="S37" s="870">
        <f>Q37</f>
        <v>46700000</v>
      </c>
      <c r="T37" s="871"/>
      <c r="U37" s="870"/>
      <c r="V37" s="870"/>
      <c r="W37" s="870"/>
      <c r="X37" s="866"/>
      <c r="Y37" s="866"/>
      <c r="Z37" s="866"/>
      <c r="AA37" s="866"/>
      <c r="AB37" s="872">
        <f>W37*1.3%</f>
        <v>0</v>
      </c>
      <c r="AC37" s="872">
        <f t="shared" si="2"/>
        <v>42072072.072072066</v>
      </c>
      <c r="AD37" s="873"/>
      <c r="AE37" s="874"/>
      <c r="AF37" s="875"/>
      <c r="AG37" s="875"/>
      <c r="AH37" s="876">
        <v>806856</v>
      </c>
      <c r="AI37" s="877"/>
      <c r="AJ37" s="878"/>
    </row>
    <row r="38" spans="1:36" s="831" customFormat="1" ht="20.100000000000001" customHeight="1">
      <c r="A38" s="718"/>
      <c r="B38" s="728"/>
      <c r="C38" s="843"/>
      <c r="D38" s="844"/>
      <c r="E38" s="725"/>
      <c r="F38" s="568"/>
      <c r="G38" s="568"/>
      <c r="H38" s="568"/>
      <c r="I38" s="568"/>
      <c r="J38" s="568"/>
      <c r="K38" s="568"/>
      <c r="L38" s="568"/>
      <c r="M38" s="721"/>
      <c r="N38" s="568"/>
      <c r="O38" s="722"/>
      <c r="P38" s="568"/>
      <c r="Q38" s="726"/>
      <c r="R38" s="857" t="e">
        <f t="shared" si="3"/>
        <v>#DIV/0!</v>
      </c>
      <c r="S38" s="726"/>
      <c r="T38" s="568"/>
      <c r="U38" s="726"/>
      <c r="V38" s="723"/>
      <c r="W38" s="726"/>
      <c r="X38" s="568"/>
      <c r="Y38" s="568"/>
      <c r="Z38" s="568"/>
      <c r="AA38" s="568"/>
      <c r="AB38" s="280">
        <f>W38*7%</f>
        <v>0</v>
      </c>
      <c r="AC38" s="280">
        <f t="shared" si="2"/>
        <v>0</v>
      </c>
      <c r="AD38" s="325"/>
      <c r="AE38" s="326"/>
      <c r="AF38" s="310"/>
      <c r="AG38" s="310"/>
      <c r="AH38" s="270">
        <v>807617</v>
      </c>
      <c r="AI38" s="375"/>
      <c r="AJ38" s="310"/>
    </row>
    <row r="39" spans="1:36" s="831" customFormat="1" ht="20.100000000000001" customHeight="1">
      <c r="A39" s="736"/>
      <c r="B39" s="728" t="s">
        <v>919</v>
      </c>
      <c r="C39" s="728" t="s">
        <v>920</v>
      </c>
      <c r="D39" s="719"/>
      <c r="E39" s="725"/>
      <c r="F39" s="721"/>
      <c r="G39" s="568"/>
      <c r="H39" s="568"/>
      <c r="I39" s="568"/>
      <c r="J39" s="568"/>
      <c r="K39" s="737"/>
      <c r="L39" s="568"/>
      <c r="M39" s="721"/>
      <c r="N39" s="568"/>
      <c r="O39" s="722"/>
      <c r="P39" s="568"/>
      <c r="Q39" s="726"/>
      <c r="R39" s="857" t="e">
        <f t="shared" si="3"/>
        <v>#DIV/0!</v>
      </c>
      <c r="S39" s="726"/>
      <c r="T39" s="568"/>
      <c r="U39" s="726"/>
      <c r="V39" s="723"/>
      <c r="W39" s="726"/>
      <c r="X39" s="568"/>
      <c r="Y39" s="568"/>
      <c r="Z39" s="568"/>
      <c r="AA39" s="568"/>
      <c r="AB39" s="280">
        <f t="shared" ref="AB39:AB40" si="4">W39*1.5%</f>
        <v>0</v>
      </c>
      <c r="AC39" s="280">
        <f t="shared" si="2"/>
        <v>0</v>
      </c>
      <c r="AD39" s="325"/>
      <c r="AE39" s="326"/>
      <c r="AF39" s="310"/>
      <c r="AG39" s="310"/>
      <c r="AH39" s="270"/>
      <c r="AI39" s="375"/>
      <c r="AJ39" s="310"/>
    </row>
    <row r="40" spans="1:36" s="258" customFormat="1" ht="20.100000000000001" customHeight="1">
      <c r="A40" s="718"/>
      <c r="B40" s="725" t="s">
        <v>922</v>
      </c>
      <c r="C40" s="725" t="s">
        <v>921</v>
      </c>
      <c r="D40" s="825" t="s">
        <v>923</v>
      </c>
      <c r="E40" s="725">
        <v>13669017</v>
      </c>
      <c r="F40" s="568" t="s">
        <v>302</v>
      </c>
      <c r="G40" s="725">
        <v>1</v>
      </c>
      <c r="H40" s="725"/>
      <c r="I40" s="725">
        <v>1</v>
      </c>
      <c r="J40" s="725"/>
      <c r="K40" s="895" t="s">
        <v>92</v>
      </c>
      <c r="L40" s="725">
        <v>103740</v>
      </c>
      <c r="M40" s="725" t="s">
        <v>924</v>
      </c>
      <c r="N40" s="725" t="s">
        <v>925</v>
      </c>
      <c r="O40" s="880" t="s">
        <v>926</v>
      </c>
      <c r="P40" s="725">
        <v>1</v>
      </c>
      <c r="Q40" s="741">
        <v>152300000</v>
      </c>
      <c r="R40" s="855">
        <f t="shared" si="3"/>
        <v>0</v>
      </c>
      <c r="S40" s="741">
        <f>Q40</f>
        <v>152300000</v>
      </c>
      <c r="T40" s="725"/>
      <c r="U40" s="741"/>
      <c r="V40" s="757">
        <f>S40</f>
        <v>152300000</v>
      </c>
      <c r="W40" s="741"/>
      <c r="X40" s="725"/>
      <c r="Y40" s="725" t="s">
        <v>806</v>
      </c>
      <c r="Z40" s="725"/>
      <c r="AA40" s="725"/>
      <c r="AB40" s="247">
        <f t="shared" si="4"/>
        <v>0</v>
      </c>
      <c r="AC40" s="247">
        <f t="shared" si="2"/>
        <v>137207207.2072072</v>
      </c>
      <c r="AD40" s="828"/>
      <c r="AE40" s="769" t="s">
        <v>767</v>
      </c>
      <c r="AF40" s="725" t="s">
        <v>767</v>
      </c>
      <c r="AG40" s="725" t="s">
        <v>767</v>
      </c>
      <c r="AH40" s="725">
        <v>804190</v>
      </c>
      <c r="AI40" s="375">
        <v>806422</v>
      </c>
      <c r="AJ40" s="829" t="s">
        <v>934</v>
      </c>
    </row>
    <row r="41" spans="1:36" s="258" customFormat="1" ht="20.100000000000001" customHeight="1">
      <c r="A41" s="718"/>
      <c r="B41" s="737"/>
      <c r="C41" s="737"/>
      <c r="D41" s="738"/>
      <c r="E41" s="725"/>
      <c r="F41" s="721"/>
      <c r="G41" s="737"/>
      <c r="H41" s="737"/>
      <c r="I41" s="737"/>
      <c r="J41" s="737"/>
      <c r="K41" s="721"/>
      <c r="L41" s="737"/>
      <c r="M41" s="721"/>
      <c r="N41" s="737"/>
      <c r="O41" s="739"/>
      <c r="P41" s="737"/>
      <c r="Q41" s="740"/>
      <c r="R41" s="855" t="e">
        <f t="shared" ref="R41:R55" si="5">(Q41-S41)/Q41*100</f>
        <v>#DIV/0!</v>
      </c>
      <c r="S41" s="740"/>
      <c r="T41" s="737"/>
      <c r="U41" s="740"/>
      <c r="V41" s="756"/>
      <c r="W41" s="740"/>
      <c r="X41" s="737"/>
      <c r="Y41" s="737"/>
      <c r="Z41" s="737"/>
      <c r="AA41" s="568"/>
      <c r="AB41" s="247">
        <f>W41*0.15%</f>
        <v>0</v>
      </c>
      <c r="AC41" s="247">
        <f t="shared" si="2"/>
        <v>0</v>
      </c>
      <c r="AD41" s="765"/>
      <c r="AE41" s="766"/>
      <c r="AF41" s="737"/>
      <c r="AG41" s="737"/>
      <c r="AH41" s="721">
        <v>807617</v>
      </c>
      <c r="AI41" s="743"/>
      <c r="AJ41" s="742"/>
    </row>
    <row r="42" spans="1:36" s="258" customFormat="1" ht="20.100000000000001" customHeight="1">
      <c r="A42" s="736"/>
      <c r="B42" s="737"/>
      <c r="C42" s="737"/>
      <c r="D42" s="738"/>
      <c r="E42" s="725"/>
      <c r="F42" s="737"/>
      <c r="G42" s="737"/>
      <c r="H42" s="737"/>
      <c r="I42" s="737"/>
      <c r="J42" s="737"/>
      <c r="K42" s="737"/>
      <c r="L42" s="737"/>
      <c r="M42" s="721"/>
      <c r="N42" s="737"/>
      <c r="O42" s="739"/>
      <c r="P42" s="737"/>
      <c r="Q42" s="740"/>
      <c r="R42" s="855" t="e">
        <f t="shared" si="5"/>
        <v>#DIV/0!</v>
      </c>
      <c r="S42" s="740"/>
      <c r="T42" s="737"/>
      <c r="U42" s="740"/>
      <c r="V42" s="756"/>
      <c r="W42" s="740"/>
      <c r="X42" s="737"/>
      <c r="Y42" s="737"/>
      <c r="Z42" s="737"/>
      <c r="AA42" s="568"/>
      <c r="AB42" s="247">
        <f>W42*1.5%</f>
        <v>0</v>
      </c>
      <c r="AC42" s="247">
        <f t="shared" si="2"/>
        <v>0</v>
      </c>
      <c r="AD42" s="765"/>
      <c r="AE42" s="766"/>
      <c r="AF42" s="737"/>
      <c r="AG42" s="737"/>
      <c r="AH42" s="721">
        <v>806857</v>
      </c>
      <c r="AI42" s="767"/>
      <c r="AJ42" s="737"/>
    </row>
    <row r="43" spans="1:36" s="258" customFormat="1" ht="20.100000000000001" customHeight="1">
      <c r="A43" s="736"/>
      <c r="B43" s="737"/>
      <c r="C43" s="737"/>
      <c r="D43" s="738"/>
      <c r="E43" s="725"/>
      <c r="F43" s="721"/>
      <c r="G43" s="737"/>
      <c r="H43" s="737"/>
      <c r="I43" s="737"/>
      <c r="J43" s="737"/>
      <c r="K43" s="721"/>
      <c r="L43" s="737"/>
      <c r="M43" s="721"/>
      <c r="N43" s="737"/>
      <c r="O43" s="739"/>
      <c r="P43" s="737"/>
      <c r="Q43" s="740"/>
      <c r="R43" s="855" t="e">
        <f t="shared" si="5"/>
        <v>#DIV/0!</v>
      </c>
      <c r="S43" s="740"/>
      <c r="T43" s="737"/>
      <c r="U43" s="740"/>
      <c r="V43" s="756"/>
      <c r="W43" s="740"/>
      <c r="X43" s="737"/>
      <c r="Y43" s="737"/>
      <c r="Z43" s="737"/>
      <c r="AA43" s="568"/>
      <c r="AB43" s="247">
        <f>W43*1.5%</f>
        <v>0</v>
      </c>
      <c r="AC43" s="247">
        <f t="shared" si="2"/>
        <v>0</v>
      </c>
      <c r="AD43" s="765"/>
      <c r="AE43" s="766"/>
      <c r="AF43" s="737"/>
      <c r="AG43" s="737"/>
      <c r="AH43" s="721">
        <v>807853</v>
      </c>
      <c r="AI43" s="767"/>
      <c r="AJ43" s="742"/>
    </row>
    <row r="44" spans="1:36" s="258" customFormat="1" ht="20.100000000000001" customHeight="1">
      <c r="A44" s="736"/>
      <c r="B44" s="737"/>
      <c r="C44" s="737"/>
      <c r="D44" s="738"/>
      <c r="E44" s="725"/>
      <c r="F44" s="729"/>
      <c r="G44" s="737"/>
      <c r="H44" s="737"/>
      <c r="I44" s="737"/>
      <c r="J44" s="737"/>
      <c r="K44" s="729"/>
      <c r="L44" s="737"/>
      <c r="M44" s="721"/>
      <c r="N44" s="737"/>
      <c r="O44" s="739"/>
      <c r="P44" s="737"/>
      <c r="Q44" s="740"/>
      <c r="R44" s="855" t="e">
        <f t="shared" si="5"/>
        <v>#DIV/0!</v>
      </c>
      <c r="S44" s="740"/>
      <c r="T44" s="742"/>
      <c r="U44" s="740"/>
      <c r="V44" s="756"/>
      <c r="W44" s="740"/>
      <c r="X44" s="737"/>
      <c r="Y44" s="737"/>
      <c r="Z44" s="737"/>
      <c r="AA44" s="568"/>
      <c r="AB44" s="247">
        <f>W44*1.5%</f>
        <v>0</v>
      </c>
      <c r="AC44" s="247">
        <f t="shared" si="2"/>
        <v>0</v>
      </c>
      <c r="AD44" s="765"/>
      <c r="AE44" s="766"/>
      <c r="AF44" s="737"/>
      <c r="AG44" s="737"/>
      <c r="AH44" s="721">
        <v>807304</v>
      </c>
      <c r="AI44" s="767"/>
      <c r="AJ44" s="768"/>
    </row>
    <row r="45" spans="1:36" s="258" customFormat="1" ht="20.100000000000001" customHeight="1">
      <c r="A45" s="724"/>
      <c r="B45" s="568" t="s">
        <v>927</v>
      </c>
      <c r="C45" s="568" t="s">
        <v>928</v>
      </c>
      <c r="D45" s="738" t="s">
        <v>929</v>
      </c>
      <c r="E45" s="725">
        <v>13121480</v>
      </c>
      <c r="F45" s="568" t="s">
        <v>302</v>
      </c>
      <c r="G45" s="568">
        <v>1</v>
      </c>
      <c r="H45" s="568"/>
      <c r="I45" s="568">
        <v>1</v>
      </c>
      <c r="J45" s="568"/>
      <c r="K45" s="864" t="s">
        <v>89</v>
      </c>
      <c r="L45" s="568">
        <v>362394</v>
      </c>
      <c r="M45" s="568" t="s">
        <v>930</v>
      </c>
      <c r="N45" s="568" t="s">
        <v>931</v>
      </c>
      <c r="O45" s="722" t="s">
        <v>932</v>
      </c>
      <c r="P45" s="568">
        <v>1</v>
      </c>
      <c r="Q45" s="726">
        <v>81000000</v>
      </c>
      <c r="R45" s="855">
        <f t="shared" si="5"/>
        <v>0</v>
      </c>
      <c r="S45" s="726">
        <f>Q45</f>
        <v>81000000</v>
      </c>
      <c r="T45" s="742"/>
      <c r="U45" s="740"/>
      <c r="V45" s="723"/>
      <c r="W45" s="726">
        <f>S45</f>
        <v>81000000</v>
      </c>
      <c r="X45" s="568"/>
      <c r="Y45" s="568"/>
      <c r="Z45" s="568" t="s">
        <v>917</v>
      </c>
      <c r="AA45" s="568" t="s">
        <v>933</v>
      </c>
      <c r="AB45" s="247">
        <f>W45*1.9%</f>
        <v>1539000</v>
      </c>
      <c r="AC45" s="247">
        <f t="shared" si="2"/>
        <v>72972972.972972959</v>
      </c>
      <c r="AD45" s="761"/>
      <c r="AE45" s="766" t="s">
        <v>778</v>
      </c>
      <c r="AF45" s="737" t="s">
        <v>778</v>
      </c>
      <c r="AG45" s="737" t="s">
        <v>778</v>
      </c>
      <c r="AH45" s="721">
        <v>806856</v>
      </c>
      <c r="AI45" s="375">
        <v>806422</v>
      </c>
      <c r="AJ45" s="768"/>
    </row>
    <row r="46" spans="1:36" s="258" customFormat="1" ht="20.100000000000001" customHeight="1">
      <c r="A46" s="724"/>
      <c r="B46" s="568"/>
      <c r="C46" s="568"/>
      <c r="D46" s="738"/>
      <c r="E46" s="725"/>
      <c r="F46" s="721"/>
      <c r="G46" s="568"/>
      <c r="H46" s="568"/>
      <c r="I46" s="568"/>
      <c r="J46" s="568"/>
      <c r="K46" s="737"/>
      <c r="L46" s="568"/>
      <c r="M46" s="568"/>
      <c r="N46" s="568"/>
      <c r="O46" s="722"/>
      <c r="P46" s="568"/>
      <c r="Q46" s="726"/>
      <c r="R46" s="855" t="e">
        <f t="shared" si="5"/>
        <v>#DIV/0!</v>
      </c>
      <c r="S46" s="726"/>
      <c r="T46" s="568"/>
      <c r="U46" s="740"/>
      <c r="V46" s="723"/>
      <c r="W46" s="726"/>
      <c r="X46" s="568"/>
      <c r="Y46" s="568"/>
      <c r="Z46" s="568"/>
      <c r="AA46" s="568"/>
      <c r="AB46" s="247">
        <f>W46*1.3%</f>
        <v>0</v>
      </c>
      <c r="AC46" s="247">
        <f t="shared" si="2"/>
        <v>0</v>
      </c>
      <c r="AD46" s="761"/>
      <c r="AE46" s="766"/>
      <c r="AF46" s="737"/>
      <c r="AG46" s="737"/>
      <c r="AH46" s="721">
        <v>807617</v>
      </c>
      <c r="AI46" s="767"/>
      <c r="AJ46" s="768"/>
    </row>
    <row r="47" spans="1:36" s="258" customFormat="1" ht="20.100000000000001" customHeight="1">
      <c r="A47" s="718"/>
      <c r="B47" s="568"/>
      <c r="C47" s="568"/>
      <c r="D47" s="719"/>
      <c r="E47" s="725"/>
      <c r="F47" s="729"/>
      <c r="G47" s="568"/>
      <c r="H47" s="568"/>
      <c r="I47" s="568"/>
      <c r="J47" s="568"/>
      <c r="K47" s="737"/>
      <c r="L47" s="568"/>
      <c r="M47" s="568"/>
      <c r="N47" s="568"/>
      <c r="O47" s="722"/>
      <c r="P47" s="568"/>
      <c r="Q47" s="726"/>
      <c r="R47" s="855" t="e">
        <f t="shared" si="5"/>
        <v>#DIV/0!</v>
      </c>
      <c r="S47" s="726"/>
      <c r="T47" s="568"/>
      <c r="U47" s="726"/>
      <c r="V47" s="723"/>
      <c r="W47" s="726"/>
      <c r="X47" s="568"/>
      <c r="Y47" s="568"/>
      <c r="Z47" s="568"/>
      <c r="AA47" s="568"/>
      <c r="AB47" s="247">
        <f>W47*1.5%</f>
        <v>0</v>
      </c>
      <c r="AC47" s="247">
        <f t="shared" si="2"/>
        <v>0</v>
      </c>
      <c r="AD47" s="761"/>
      <c r="AE47" s="762"/>
      <c r="AF47" s="568"/>
      <c r="AG47" s="568"/>
      <c r="AH47" s="568">
        <v>807567</v>
      </c>
      <c r="AI47" s="743"/>
      <c r="AJ47" s="568"/>
    </row>
    <row r="48" spans="1:36" s="258" customFormat="1" ht="20.100000000000001" customHeight="1">
      <c r="A48" s="724"/>
      <c r="B48" s="568" t="s">
        <v>944</v>
      </c>
      <c r="C48" s="568" t="s">
        <v>945</v>
      </c>
      <c r="D48" s="719" t="s">
        <v>946</v>
      </c>
      <c r="E48" s="725">
        <v>13245846</v>
      </c>
      <c r="F48" s="568" t="s">
        <v>302</v>
      </c>
      <c r="G48" s="568"/>
      <c r="H48" s="568">
        <v>1</v>
      </c>
      <c r="I48" s="568">
        <v>1</v>
      </c>
      <c r="J48" s="568"/>
      <c r="K48" s="864" t="s">
        <v>89</v>
      </c>
      <c r="L48" s="568">
        <v>357986</v>
      </c>
      <c r="M48" s="568" t="s">
        <v>947</v>
      </c>
      <c r="N48" s="568" t="s">
        <v>948</v>
      </c>
      <c r="O48" s="722" t="s">
        <v>949</v>
      </c>
      <c r="P48" s="568">
        <v>1</v>
      </c>
      <c r="Q48" s="726">
        <v>69400000</v>
      </c>
      <c r="R48" s="855">
        <f t="shared" si="5"/>
        <v>0</v>
      </c>
      <c r="S48" s="726">
        <f>Q48</f>
        <v>69400000</v>
      </c>
      <c r="T48" s="568"/>
      <c r="U48" s="726"/>
      <c r="V48" s="723">
        <f>S48</f>
        <v>69400000</v>
      </c>
      <c r="W48" s="726"/>
      <c r="X48" s="568"/>
      <c r="Y48" s="568" t="s">
        <v>806</v>
      </c>
      <c r="Z48" s="568"/>
      <c r="AA48" s="568"/>
      <c r="AB48" s="247">
        <f>W48*0.15%</f>
        <v>0</v>
      </c>
      <c r="AC48" s="247">
        <f t="shared" si="2"/>
        <v>62522522.522522517</v>
      </c>
      <c r="AD48" s="761"/>
      <c r="AE48" s="762" t="s">
        <v>778</v>
      </c>
      <c r="AF48" s="568" t="s">
        <v>778</v>
      </c>
      <c r="AG48" s="568" t="s">
        <v>778</v>
      </c>
      <c r="AH48" s="568">
        <v>808138</v>
      </c>
      <c r="AI48" s="375">
        <v>806422</v>
      </c>
      <c r="AJ48" s="734"/>
    </row>
    <row r="49" spans="1:36" s="258" customFormat="1" ht="20.100000000000001" customHeight="1">
      <c r="A49" s="724"/>
      <c r="B49" s="568"/>
      <c r="C49" s="568"/>
      <c r="D49" s="719"/>
      <c r="E49" s="725"/>
      <c r="F49" s="721"/>
      <c r="G49" s="568"/>
      <c r="H49" s="568"/>
      <c r="I49" s="568"/>
      <c r="J49" s="568"/>
      <c r="K49" s="568"/>
      <c r="L49" s="568"/>
      <c r="M49" s="734"/>
      <c r="N49" s="568"/>
      <c r="O49" s="735"/>
      <c r="P49" s="568"/>
      <c r="Q49" s="726"/>
      <c r="R49" s="855" t="e">
        <f t="shared" si="5"/>
        <v>#DIV/0!</v>
      </c>
      <c r="S49" s="726"/>
      <c r="T49" s="568"/>
      <c r="U49" s="726"/>
      <c r="V49" s="723"/>
      <c r="W49" s="723"/>
      <c r="X49" s="568"/>
      <c r="Y49" s="568"/>
      <c r="Z49" s="568"/>
      <c r="AA49" s="568"/>
      <c r="AB49" s="247">
        <f>W49*2.25%</f>
        <v>0</v>
      </c>
      <c r="AC49" s="247">
        <f t="shared" si="2"/>
        <v>0</v>
      </c>
      <c r="AD49" s="761"/>
      <c r="AE49" s="762"/>
      <c r="AF49" s="568"/>
      <c r="AG49" s="568"/>
      <c r="AH49" s="568">
        <v>806856</v>
      </c>
      <c r="AI49" s="743"/>
      <c r="AJ49" s="734"/>
    </row>
    <row r="50" spans="1:36" s="258" customFormat="1" ht="20.100000000000001" customHeight="1">
      <c r="A50" s="727"/>
      <c r="B50" s="568"/>
      <c r="C50" s="568"/>
      <c r="D50" s="719"/>
      <c r="E50" s="725"/>
      <c r="F50" s="721"/>
      <c r="G50" s="568"/>
      <c r="H50" s="568"/>
      <c r="I50" s="568"/>
      <c r="J50" s="568"/>
      <c r="K50" s="568"/>
      <c r="L50" s="568"/>
      <c r="M50" s="734"/>
      <c r="N50" s="568"/>
      <c r="O50" s="735"/>
      <c r="P50" s="568"/>
      <c r="Q50" s="726"/>
      <c r="R50" s="855" t="e">
        <f t="shared" si="5"/>
        <v>#DIV/0!</v>
      </c>
      <c r="S50" s="726"/>
      <c r="T50" s="568"/>
      <c r="U50" s="726"/>
      <c r="V50" s="723"/>
      <c r="W50" s="726"/>
      <c r="X50" s="568"/>
      <c r="Y50" s="568"/>
      <c r="Z50" s="568"/>
      <c r="AA50" s="568"/>
      <c r="AB50" s="247">
        <f>W50*1.5%</f>
        <v>0</v>
      </c>
      <c r="AC50" s="247">
        <f t="shared" si="2"/>
        <v>0</v>
      </c>
      <c r="AD50" s="761"/>
      <c r="AE50" s="762"/>
      <c r="AF50" s="568"/>
      <c r="AG50" s="568"/>
      <c r="AH50" s="568">
        <v>807617</v>
      </c>
      <c r="AI50" s="743"/>
      <c r="AJ50" s="830"/>
    </row>
    <row r="51" spans="1:36" s="258" customFormat="1" ht="20.100000000000001" customHeight="1">
      <c r="A51" s="724"/>
      <c r="B51" s="568" t="s">
        <v>951</v>
      </c>
      <c r="C51" s="568" t="s">
        <v>950</v>
      </c>
      <c r="D51" s="719" t="s">
        <v>952</v>
      </c>
      <c r="E51" s="725">
        <v>13558612</v>
      </c>
      <c r="F51" s="568" t="s">
        <v>302</v>
      </c>
      <c r="G51" s="568"/>
      <c r="H51" s="568">
        <v>1</v>
      </c>
      <c r="I51" s="568"/>
      <c r="J51" s="568">
        <v>1</v>
      </c>
      <c r="K51" s="894" t="s">
        <v>92</v>
      </c>
      <c r="L51" s="568">
        <v>104277</v>
      </c>
      <c r="M51" s="568" t="s">
        <v>953</v>
      </c>
      <c r="N51" s="568" t="s">
        <v>954</v>
      </c>
      <c r="O51" s="722" t="s">
        <v>955</v>
      </c>
      <c r="P51" s="568">
        <v>1</v>
      </c>
      <c r="Q51" s="726">
        <v>203800000</v>
      </c>
      <c r="R51" s="855">
        <f t="shared" si="5"/>
        <v>0</v>
      </c>
      <c r="S51" s="726">
        <f>Q51</f>
        <v>203800000</v>
      </c>
      <c r="T51" s="733"/>
      <c r="U51" s="726"/>
      <c r="V51" s="723"/>
      <c r="W51" s="726">
        <v>371400000</v>
      </c>
      <c r="X51" s="568"/>
      <c r="Y51" s="568"/>
      <c r="Z51" s="568" t="s">
        <v>917</v>
      </c>
      <c r="AA51" s="568" t="s">
        <v>963</v>
      </c>
      <c r="AB51" s="247">
        <f>W51*1.9%</f>
        <v>7056600</v>
      </c>
      <c r="AC51" s="247">
        <f t="shared" si="2"/>
        <v>183603603.6036036</v>
      </c>
      <c r="AD51" s="761"/>
      <c r="AE51" s="762" t="s">
        <v>767</v>
      </c>
      <c r="AF51" s="568" t="s">
        <v>767</v>
      </c>
      <c r="AG51" s="568" t="s">
        <v>767</v>
      </c>
      <c r="AH51" s="568">
        <v>807853</v>
      </c>
      <c r="AI51" s="375">
        <v>806422</v>
      </c>
      <c r="AJ51" s="734"/>
    </row>
    <row r="52" spans="1:36" s="258" customFormat="1" ht="20.100000000000001" customHeight="1">
      <c r="A52" s="724"/>
      <c r="B52" s="568"/>
      <c r="C52" s="568"/>
      <c r="D52" s="719"/>
      <c r="E52" s="725"/>
      <c r="F52" s="568"/>
      <c r="G52" s="568"/>
      <c r="H52" s="568"/>
      <c r="I52" s="568"/>
      <c r="J52" s="568"/>
      <c r="K52" s="721" t="s">
        <v>89</v>
      </c>
      <c r="L52" s="568">
        <v>354731</v>
      </c>
      <c r="M52" s="568" t="s">
        <v>956</v>
      </c>
      <c r="N52" s="568" t="s">
        <v>957</v>
      </c>
      <c r="O52" s="722" t="s">
        <v>958</v>
      </c>
      <c r="P52" s="568">
        <v>1</v>
      </c>
      <c r="Q52" s="726">
        <v>35100000</v>
      </c>
      <c r="R52" s="855">
        <f t="shared" si="5"/>
        <v>0</v>
      </c>
      <c r="S52" s="726">
        <f>Q52</f>
        <v>35100000</v>
      </c>
      <c r="T52" s="568"/>
      <c r="U52" s="726"/>
      <c r="V52" s="723"/>
      <c r="W52" s="726"/>
      <c r="X52" s="568"/>
      <c r="Y52" s="568"/>
      <c r="Z52" s="568"/>
      <c r="AA52" s="568"/>
      <c r="AB52" s="247">
        <f>W52*1.5%</f>
        <v>0</v>
      </c>
      <c r="AC52" s="247">
        <f t="shared" si="2"/>
        <v>31621621.62162162</v>
      </c>
      <c r="AD52" s="761"/>
      <c r="AE52" s="762"/>
      <c r="AF52" s="568"/>
      <c r="AG52" s="568"/>
      <c r="AH52" s="568">
        <v>807617</v>
      </c>
      <c r="AI52" s="375">
        <v>806422</v>
      </c>
      <c r="AJ52" s="734"/>
    </row>
    <row r="53" spans="1:36" s="258" customFormat="1" ht="20.100000000000001" customHeight="1">
      <c r="A53" s="724"/>
      <c r="B53" s="568"/>
      <c r="C53" s="568"/>
      <c r="D53" s="719"/>
      <c r="E53" s="725"/>
      <c r="F53" s="721"/>
      <c r="G53" s="568"/>
      <c r="H53" s="568"/>
      <c r="I53" s="568"/>
      <c r="J53" s="568"/>
      <c r="K53" s="721" t="s">
        <v>89</v>
      </c>
      <c r="L53" s="568">
        <v>350641</v>
      </c>
      <c r="M53" s="568" t="s">
        <v>959</v>
      </c>
      <c r="N53" s="568" t="s">
        <v>960</v>
      </c>
      <c r="O53" s="722" t="s">
        <v>961</v>
      </c>
      <c r="P53" s="568">
        <v>1</v>
      </c>
      <c r="Q53" s="726">
        <v>97400000</v>
      </c>
      <c r="R53" s="855">
        <f t="shared" si="5"/>
        <v>0</v>
      </c>
      <c r="S53" s="726">
        <f>Q53</f>
        <v>97400000</v>
      </c>
      <c r="T53" s="568"/>
      <c r="U53" s="726"/>
      <c r="V53" s="723"/>
      <c r="W53" s="726"/>
      <c r="X53" s="568"/>
      <c r="Y53" s="568"/>
      <c r="Z53" s="568"/>
      <c r="AA53" s="568"/>
      <c r="AB53" s="247">
        <f>W53*1.5%</f>
        <v>0</v>
      </c>
      <c r="AC53" s="247">
        <f t="shared" si="2"/>
        <v>87747747.747747734</v>
      </c>
      <c r="AD53" s="761"/>
      <c r="AE53" s="762"/>
      <c r="AF53" s="568"/>
      <c r="AG53" s="568"/>
      <c r="AH53" s="568">
        <v>804189</v>
      </c>
      <c r="AI53" s="375">
        <v>806422</v>
      </c>
      <c r="AJ53" s="734"/>
    </row>
    <row r="54" spans="1:36" s="258" customFormat="1" ht="20.100000000000001" customHeight="1">
      <c r="A54" s="724"/>
      <c r="B54" s="568"/>
      <c r="C54" s="568"/>
      <c r="D54" s="719"/>
      <c r="E54" s="725"/>
      <c r="F54" s="729"/>
      <c r="G54" s="568"/>
      <c r="H54" s="568"/>
      <c r="I54" s="568"/>
      <c r="J54" s="568"/>
      <c r="K54" s="721" t="s">
        <v>89</v>
      </c>
      <c r="L54" s="568">
        <v>354731</v>
      </c>
      <c r="M54" s="568" t="s">
        <v>956</v>
      </c>
      <c r="N54" s="568" t="s">
        <v>962</v>
      </c>
      <c r="O54" s="722" t="s">
        <v>958</v>
      </c>
      <c r="P54" s="568">
        <v>1</v>
      </c>
      <c r="Q54" s="726">
        <v>35100000</v>
      </c>
      <c r="R54" s="855">
        <f t="shared" si="5"/>
        <v>0</v>
      </c>
      <c r="S54" s="726">
        <f>Q54</f>
        <v>35100000</v>
      </c>
      <c r="T54" s="568"/>
      <c r="U54" s="726"/>
      <c r="V54" s="723"/>
      <c r="W54" s="726"/>
      <c r="X54" s="568"/>
      <c r="Y54" s="568"/>
      <c r="Z54" s="568"/>
      <c r="AA54" s="568"/>
      <c r="AB54" s="247">
        <f>W54*1.5%</f>
        <v>0</v>
      </c>
      <c r="AC54" s="247">
        <f t="shared" si="2"/>
        <v>31621621.62162162</v>
      </c>
      <c r="AD54" s="761"/>
      <c r="AE54" s="762"/>
      <c r="AF54" s="568"/>
      <c r="AG54" s="568"/>
      <c r="AH54" s="568">
        <v>804189</v>
      </c>
      <c r="AI54" s="375">
        <v>806422</v>
      </c>
      <c r="AJ54" s="728"/>
    </row>
    <row r="55" spans="1:36" s="258" customFormat="1" ht="20.100000000000001" customHeight="1">
      <c r="A55" s="724"/>
      <c r="B55" s="568"/>
      <c r="C55" s="568"/>
      <c r="D55" s="719"/>
      <c r="E55" s="725"/>
      <c r="F55" s="721"/>
      <c r="G55" s="568"/>
      <c r="H55" s="568"/>
      <c r="I55" s="568"/>
      <c r="J55" s="568"/>
      <c r="K55" s="721"/>
      <c r="L55" s="568"/>
      <c r="M55" s="568"/>
      <c r="N55" s="568"/>
      <c r="O55" s="722"/>
      <c r="P55" s="568"/>
      <c r="Q55" s="726"/>
      <c r="R55" s="855" t="e">
        <f t="shared" si="5"/>
        <v>#DIV/0!</v>
      </c>
      <c r="S55" s="726"/>
      <c r="T55" s="568"/>
      <c r="U55" s="726"/>
      <c r="V55" s="723"/>
      <c r="W55" s="726"/>
      <c r="X55" s="568"/>
      <c r="Y55" s="568"/>
      <c r="Z55" s="568"/>
      <c r="AA55" s="568"/>
      <c r="AB55" s="247">
        <f>W55*1.7%</f>
        <v>0</v>
      </c>
      <c r="AC55" s="247">
        <f t="shared" si="2"/>
        <v>0</v>
      </c>
      <c r="AD55" s="761"/>
      <c r="AE55" s="762"/>
      <c r="AF55" s="568"/>
      <c r="AG55" s="568"/>
      <c r="AH55" s="568">
        <v>804279</v>
      </c>
      <c r="AI55" s="767"/>
      <c r="AJ55" s="742"/>
    </row>
    <row r="56" spans="1:36" s="258" customFormat="1" ht="20.100000000000001" customHeight="1">
      <c r="A56" s="724"/>
      <c r="B56" s="568"/>
      <c r="C56" s="568"/>
      <c r="D56" s="719"/>
      <c r="E56" s="725"/>
      <c r="F56" s="721"/>
      <c r="G56" s="568"/>
      <c r="H56" s="568"/>
      <c r="I56" s="568"/>
      <c r="J56" s="568"/>
      <c r="K56" s="721"/>
      <c r="L56" s="568"/>
      <c r="M56" s="568"/>
      <c r="N56" s="568"/>
      <c r="O56" s="722"/>
      <c r="P56" s="568"/>
      <c r="Q56" s="726"/>
      <c r="R56" s="855" t="e">
        <f t="shared" ref="R56:R61" si="6">(Q56-S56)/Q56*100</f>
        <v>#DIV/0!</v>
      </c>
      <c r="S56" s="726"/>
      <c r="T56" s="568"/>
      <c r="U56" s="726"/>
      <c r="V56" s="723"/>
      <c r="W56" s="726"/>
      <c r="X56" s="568"/>
      <c r="Y56" s="568"/>
      <c r="Z56" s="568"/>
      <c r="AA56" s="568"/>
      <c r="AB56" s="247">
        <f>W56*1.5%</f>
        <v>0</v>
      </c>
      <c r="AC56" s="247">
        <f t="shared" ref="AC56:AC61" si="7">(S56/1.11)</f>
        <v>0</v>
      </c>
      <c r="AD56" s="761"/>
      <c r="AE56" s="762"/>
      <c r="AF56" s="568"/>
      <c r="AG56" s="568"/>
      <c r="AH56" s="568">
        <v>807569</v>
      </c>
      <c r="AI56" s="743"/>
      <c r="AJ56" s="734"/>
    </row>
    <row r="57" spans="1:36" s="258" customFormat="1" ht="20.100000000000001" customHeight="1">
      <c r="A57" s="718"/>
      <c r="B57" s="568"/>
      <c r="C57" s="568"/>
      <c r="D57" s="719"/>
      <c r="E57" s="725"/>
      <c r="F57" s="721"/>
      <c r="G57" s="568"/>
      <c r="H57" s="568"/>
      <c r="I57" s="568"/>
      <c r="J57" s="568"/>
      <c r="K57" s="737"/>
      <c r="L57" s="568"/>
      <c r="M57" s="568"/>
      <c r="N57" s="568"/>
      <c r="O57" s="722"/>
      <c r="P57" s="568"/>
      <c r="Q57" s="726"/>
      <c r="R57" s="855" t="e">
        <f t="shared" si="6"/>
        <v>#DIV/0!</v>
      </c>
      <c r="S57" s="726"/>
      <c r="T57" s="568"/>
      <c r="U57" s="726"/>
      <c r="V57" s="726"/>
      <c r="W57" s="726"/>
      <c r="X57" s="568"/>
      <c r="Y57" s="568"/>
      <c r="Z57" s="568"/>
      <c r="AA57" s="568"/>
      <c r="AB57" s="247">
        <f>W57*2.2%</f>
        <v>0</v>
      </c>
      <c r="AC57" s="247">
        <f t="shared" si="7"/>
        <v>0</v>
      </c>
      <c r="AD57" s="761">
        <f>SUM(AC36:AC57)</f>
        <v>651279279.27927923</v>
      </c>
      <c r="AE57" s="762"/>
      <c r="AF57" s="568"/>
      <c r="AG57" s="568"/>
      <c r="AH57" s="568">
        <v>807572</v>
      </c>
      <c r="AI57" s="743"/>
      <c r="AJ57" s="734"/>
    </row>
    <row r="58" spans="1:36" s="258" customFormat="1" ht="20.100000000000001" customHeight="1">
      <c r="A58" s="718">
        <v>46271</v>
      </c>
      <c r="B58" s="568" t="s">
        <v>964</v>
      </c>
      <c r="C58" s="568" t="s">
        <v>965</v>
      </c>
      <c r="D58" s="719" t="s">
        <v>872</v>
      </c>
      <c r="E58" s="725">
        <v>13167381</v>
      </c>
      <c r="F58" s="568" t="s">
        <v>302</v>
      </c>
      <c r="G58" s="737"/>
      <c r="H58" s="737">
        <v>1</v>
      </c>
      <c r="I58" s="737"/>
      <c r="J58" s="737">
        <v>1</v>
      </c>
      <c r="K58" s="721" t="s">
        <v>89</v>
      </c>
      <c r="L58" s="568">
        <v>357846</v>
      </c>
      <c r="M58" s="568" t="s">
        <v>966</v>
      </c>
      <c r="N58" s="568" t="s">
        <v>967</v>
      </c>
      <c r="O58" s="722" t="s">
        <v>968</v>
      </c>
      <c r="P58" s="568">
        <v>1</v>
      </c>
      <c r="Q58" s="726">
        <v>371000000</v>
      </c>
      <c r="R58" s="855">
        <f t="shared" si="6"/>
        <v>0</v>
      </c>
      <c r="S58" s="726">
        <v>371000000</v>
      </c>
      <c r="T58" s="568"/>
      <c r="U58" s="726" t="s">
        <v>875</v>
      </c>
      <c r="V58" s="723"/>
      <c r="W58" s="726"/>
      <c r="X58" s="568"/>
      <c r="Y58" s="568"/>
      <c r="Z58" s="568"/>
      <c r="AA58" s="568"/>
      <c r="AB58" s="247">
        <f>W58*1.75%</f>
        <v>0</v>
      </c>
      <c r="AC58" s="247">
        <f t="shared" si="7"/>
        <v>334234234.23423421</v>
      </c>
      <c r="AD58" s="761"/>
      <c r="AE58" s="762" t="s">
        <v>796</v>
      </c>
      <c r="AF58" s="568" t="s">
        <v>796</v>
      </c>
      <c r="AG58" s="568" t="s">
        <v>796</v>
      </c>
      <c r="AH58" s="568">
        <v>806857</v>
      </c>
      <c r="AI58" s="767">
        <v>806422</v>
      </c>
      <c r="AJ58" s="734"/>
    </row>
    <row r="59" spans="1:36" s="258" customFormat="1" ht="20.100000000000001" customHeight="1">
      <c r="A59" s="724"/>
      <c r="B59" s="568"/>
      <c r="C59" s="568"/>
      <c r="D59" s="719"/>
      <c r="E59" s="725"/>
      <c r="F59" s="568"/>
      <c r="G59" s="568"/>
      <c r="H59" s="568"/>
      <c r="I59" s="568"/>
      <c r="J59" s="568"/>
      <c r="K59" s="721"/>
      <c r="L59" s="568"/>
      <c r="M59" s="568"/>
      <c r="N59" s="568"/>
      <c r="O59" s="722"/>
      <c r="P59" s="568"/>
      <c r="Q59" s="726"/>
      <c r="R59" s="855" t="e">
        <f t="shared" si="6"/>
        <v>#DIV/0!</v>
      </c>
      <c r="S59" s="726"/>
      <c r="T59" s="568"/>
      <c r="U59" s="726"/>
      <c r="V59" s="723"/>
      <c r="W59" s="726"/>
      <c r="X59" s="568"/>
      <c r="Y59" s="568"/>
      <c r="Z59" s="568"/>
      <c r="AA59" s="568"/>
      <c r="AB59" s="247">
        <f>W59*1.7%</f>
        <v>0</v>
      </c>
      <c r="AC59" s="247">
        <f t="shared" si="7"/>
        <v>0</v>
      </c>
      <c r="AD59" s="761"/>
      <c r="AE59" s="762"/>
      <c r="AF59" s="568"/>
      <c r="AG59" s="568"/>
      <c r="AH59" s="568">
        <v>807568</v>
      </c>
      <c r="AI59" s="767"/>
      <c r="AJ59" s="734"/>
    </row>
    <row r="60" spans="1:36" s="258" customFormat="1" ht="20.100000000000001" customHeight="1">
      <c r="A60" s="724"/>
      <c r="B60" s="568" t="s">
        <v>970</v>
      </c>
      <c r="C60" s="568" t="s">
        <v>971</v>
      </c>
      <c r="D60" s="719" t="s">
        <v>972</v>
      </c>
      <c r="E60" s="725">
        <v>13232721</v>
      </c>
      <c r="F60" s="568" t="s">
        <v>302</v>
      </c>
      <c r="G60" s="568"/>
      <c r="H60" s="568">
        <v>1</v>
      </c>
      <c r="I60" s="568"/>
      <c r="J60" s="568">
        <v>1</v>
      </c>
      <c r="K60" s="721" t="s">
        <v>89</v>
      </c>
      <c r="L60" s="568">
        <v>357868</v>
      </c>
      <c r="M60" s="568" t="s">
        <v>973</v>
      </c>
      <c r="N60" s="568" t="s">
        <v>974</v>
      </c>
      <c r="O60" s="722" t="s">
        <v>975</v>
      </c>
      <c r="P60" s="568">
        <v>1</v>
      </c>
      <c r="Q60" s="726">
        <v>114600000</v>
      </c>
      <c r="R60" s="855">
        <f t="shared" si="6"/>
        <v>0</v>
      </c>
      <c r="S60" s="726">
        <v>114600000</v>
      </c>
      <c r="T60" s="568"/>
      <c r="U60" s="726"/>
      <c r="V60" s="723">
        <v>100000000</v>
      </c>
      <c r="W60" s="726"/>
      <c r="X60" s="568"/>
      <c r="Y60" s="568" t="s">
        <v>976</v>
      </c>
      <c r="Z60" s="568"/>
      <c r="AA60" s="568"/>
      <c r="AB60" s="247">
        <f>W60*0.15%</f>
        <v>0</v>
      </c>
      <c r="AC60" s="247">
        <f t="shared" si="7"/>
        <v>103243243.24324323</v>
      </c>
      <c r="AD60" s="761"/>
      <c r="AE60" s="762" t="s">
        <v>768</v>
      </c>
      <c r="AF60" s="568" t="s">
        <v>768</v>
      </c>
      <c r="AG60" s="568" t="s">
        <v>768</v>
      </c>
      <c r="AH60" s="568">
        <v>806857</v>
      </c>
      <c r="AI60" s="743">
        <v>806422</v>
      </c>
      <c r="AJ60" s="734" t="s">
        <v>863</v>
      </c>
    </row>
    <row r="61" spans="1:36" s="258" customFormat="1" ht="20.100000000000001" customHeight="1">
      <c r="A61" s="724"/>
      <c r="B61" s="568"/>
      <c r="C61" s="743"/>
      <c r="D61" s="719"/>
      <c r="E61" s="725"/>
      <c r="F61" s="729"/>
      <c r="G61" s="568"/>
      <c r="H61" s="568"/>
      <c r="I61" s="568"/>
      <c r="J61" s="568"/>
      <c r="K61" s="729"/>
      <c r="L61" s="568"/>
      <c r="M61" s="744"/>
      <c r="N61" s="568"/>
      <c r="O61" s="722"/>
      <c r="P61" s="568"/>
      <c r="Q61" s="726"/>
      <c r="R61" s="855" t="e">
        <f t="shared" si="6"/>
        <v>#DIV/0!</v>
      </c>
      <c r="S61" s="726"/>
      <c r="T61" s="568"/>
      <c r="U61" s="726"/>
      <c r="V61" s="723"/>
      <c r="W61" s="726">
        <v>14600000</v>
      </c>
      <c r="X61" s="568"/>
      <c r="Y61" s="568"/>
      <c r="Z61" s="568" t="s">
        <v>806</v>
      </c>
      <c r="AA61" s="568" t="s">
        <v>977</v>
      </c>
      <c r="AB61" s="247">
        <f>W61*1.3%</f>
        <v>189800.00000000003</v>
      </c>
      <c r="AC61" s="247">
        <f t="shared" si="7"/>
        <v>0</v>
      </c>
      <c r="AD61" s="761"/>
      <c r="AE61" s="762"/>
      <c r="AF61" s="568"/>
      <c r="AG61" s="568"/>
      <c r="AH61" s="568">
        <v>806742</v>
      </c>
      <c r="AI61" s="743"/>
      <c r="AJ61" s="832" t="s">
        <v>969</v>
      </c>
    </row>
    <row r="62" spans="1:36" s="258" customFormat="1" ht="20.100000000000001" customHeight="1">
      <c r="A62" s="724"/>
      <c r="B62" s="568"/>
      <c r="C62" s="568"/>
      <c r="D62" s="719"/>
      <c r="E62" s="725"/>
      <c r="F62" s="721"/>
      <c r="G62" s="568"/>
      <c r="H62" s="568"/>
      <c r="I62" s="568"/>
      <c r="J62" s="568"/>
      <c r="K62" s="721"/>
      <c r="L62" s="568"/>
      <c r="M62" s="568"/>
      <c r="N62" s="568"/>
      <c r="O62" s="722"/>
      <c r="P62" s="568"/>
      <c r="Q62" s="726"/>
      <c r="R62" s="855" t="e">
        <f t="shared" ref="R62:R68" si="8">(Q62-S62)/Q62*100</f>
        <v>#DIV/0!</v>
      </c>
      <c r="S62" s="726"/>
      <c r="T62" s="733"/>
      <c r="U62" s="726"/>
      <c r="V62" s="723"/>
      <c r="W62" s="726"/>
      <c r="X62" s="568"/>
      <c r="Y62" s="568"/>
      <c r="Z62" s="568"/>
      <c r="AA62" s="568"/>
      <c r="AB62" s="247">
        <f>W62*2.2%</f>
        <v>0</v>
      </c>
      <c r="AC62" s="247">
        <f t="shared" ref="AC62:AC68" si="9">(S62/1.11)</f>
        <v>0</v>
      </c>
      <c r="AD62" s="761"/>
      <c r="AE62" s="762"/>
      <c r="AF62" s="568"/>
      <c r="AG62" s="568"/>
      <c r="AH62" s="568">
        <v>807617</v>
      </c>
      <c r="AI62" s="767"/>
      <c r="AJ62" s="734"/>
    </row>
    <row r="63" spans="1:36" s="258" customFormat="1" ht="20.100000000000001" customHeight="1">
      <c r="A63" s="724"/>
      <c r="B63" s="568" t="s">
        <v>979</v>
      </c>
      <c r="C63" s="568" t="s">
        <v>980</v>
      </c>
      <c r="D63" s="719" t="s">
        <v>981</v>
      </c>
      <c r="E63" s="725">
        <v>13670056</v>
      </c>
      <c r="F63" s="568" t="s">
        <v>302</v>
      </c>
      <c r="G63" s="568"/>
      <c r="H63" s="568">
        <v>1</v>
      </c>
      <c r="I63" s="568">
        <v>1</v>
      </c>
      <c r="J63" s="568"/>
      <c r="K63" s="568"/>
      <c r="L63" s="568"/>
      <c r="M63" s="734" t="s">
        <v>804</v>
      </c>
      <c r="N63" s="568"/>
      <c r="O63" s="735" t="s">
        <v>982</v>
      </c>
      <c r="P63" s="568"/>
      <c r="Q63" s="726"/>
      <c r="R63" s="855" t="e">
        <f t="shared" si="8"/>
        <v>#DIV/0!</v>
      </c>
      <c r="S63" s="726"/>
      <c r="T63" s="568"/>
      <c r="U63" s="726"/>
      <c r="V63" s="723"/>
      <c r="W63" s="726">
        <v>100000000</v>
      </c>
      <c r="X63" s="568"/>
      <c r="Y63" s="568"/>
      <c r="Z63" s="568" t="s">
        <v>806</v>
      </c>
      <c r="AA63" s="568" t="s">
        <v>978</v>
      </c>
      <c r="AB63" s="247">
        <f>W63*1.3%</f>
        <v>1300000</v>
      </c>
      <c r="AC63" s="247">
        <f t="shared" si="9"/>
        <v>0</v>
      </c>
      <c r="AD63" s="761"/>
      <c r="AE63" s="762" t="s">
        <v>778</v>
      </c>
      <c r="AF63" s="568" t="s">
        <v>778</v>
      </c>
      <c r="AG63" s="568"/>
      <c r="AH63" s="568">
        <v>807617</v>
      </c>
      <c r="AI63" s="743"/>
      <c r="AJ63" s="568"/>
    </row>
    <row r="64" spans="1:36" s="258" customFormat="1" ht="20.100000000000001" customHeight="1">
      <c r="A64" s="724"/>
      <c r="B64" s="568" t="s">
        <v>983</v>
      </c>
      <c r="C64" s="568" t="s">
        <v>984</v>
      </c>
      <c r="D64" s="719" t="s">
        <v>985</v>
      </c>
      <c r="E64" s="725">
        <v>13672905</v>
      </c>
      <c r="F64" s="568" t="s">
        <v>302</v>
      </c>
      <c r="G64" s="568">
        <v>1</v>
      </c>
      <c r="H64" s="568"/>
      <c r="I64" s="568">
        <v>1</v>
      </c>
      <c r="J64" s="568"/>
      <c r="K64" s="896" t="s">
        <v>92</v>
      </c>
      <c r="L64" s="568">
        <v>103689</v>
      </c>
      <c r="M64" s="568" t="s">
        <v>986</v>
      </c>
      <c r="N64" s="568" t="s">
        <v>987</v>
      </c>
      <c r="O64" s="722" t="s">
        <v>988</v>
      </c>
      <c r="P64" s="568">
        <v>1</v>
      </c>
      <c r="Q64" s="726">
        <v>107900000</v>
      </c>
      <c r="R64" s="855">
        <f t="shared" si="8"/>
        <v>0</v>
      </c>
      <c r="S64" s="726">
        <v>107900000</v>
      </c>
      <c r="T64" s="568"/>
      <c r="U64" s="726"/>
      <c r="V64" s="723"/>
      <c r="W64" s="726">
        <v>107900000</v>
      </c>
      <c r="X64" s="568"/>
      <c r="Y64" s="568"/>
      <c r="Z64" s="568" t="s">
        <v>806</v>
      </c>
      <c r="AA64" s="568" t="s">
        <v>811</v>
      </c>
      <c r="AB64" s="247">
        <f>W64*1.3%</f>
        <v>1402700.0000000002</v>
      </c>
      <c r="AC64" s="247">
        <f t="shared" si="9"/>
        <v>97207207.207207203</v>
      </c>
      <c r="AD64" s="761"/>
      <c r="AE64" s="762" t="s">
        <v>767</v>
      </c>
      <c r="AF64" s="568" t="s">
        <v>767</v>
      </c>
      <c r="AG64" s="568" t="s">
        <v>767</v>
      </c>
      <c r="AH64" s="568">
        <v>807572</v>
      </c>
      <c r="AI64" s="743">
        <v>806422</v>
      </c>
      <c r="AJ64" s="568"/>
    </row>
    <row r="65" spans="1:36" s="258" customFormat="1" ht="20.100000000000001" customHeight="1">
      <c r="A65" s="718"/>
      <c r="B65" s="568"/>
      <c r="C65" s="743"/>
      <c r="D65" s="719"/>
      <c r="E65" s="729"/>
      <c r="F65" s="721"/>
      <c r="G65" s="568"/>
      <c r="H65" s="568"/>
      <c r="I65" s="568"/>
      <c r="J65" s="568"/>
      <c r="K65" s="737"/>
      <c r="L65" s="568"/>
      <c r="M65" s="568"/>
      <c r="N65" s="568"/>
      <c r="O65" s="722"/>
      <c r="P65" s="568"/>
      <c r="Q65" s="726"/>
      <c r="R65" s="855" t="e">
        <f t="shared" si="8"/>
        <v>#DIV/0!</v>
      </c>
      <c r="S65" s="726"/>
      <c r="T65" s="568"/>
      <c r="U65" s="726"/>
      <c r="V65" s="723"/>
      <c r="W65" s="726"/>
      <c r="X65" s="568"/>
      <c r="Y65" s="568"/>
      <c r="Z65" s="568"/>
      <c r="AA65" s="568"/>
      <c r="AB65" s="247">
        <f>W65*0.15%</f>
        <v>0</v>
      </c>
      <c r="AC65" s="247">
        <f t="shared" si="9"/>
        <v>0</v>
      </c>
      <c r="AD65" s="761"/>
      <c r="AE65" s="762"/>
      <c r="AF65" s="568"/>
      <c r="AG65" s="568"/>
      <c r="AH65" s="568">
        <v>807617</v>
      </c>
      <c r="AI65" s="743"/>
      <c r="AJ65" s="568"/>
    </row>
    <row r="66" spans="1:36" s="258" customFormat="1" ht="20.100000000000001" customHeight="1">
      <c r="A66" s="718"/>
      <c r="B66" s="568"/>
      <c r="C66" s="568"/>
      <c r="D66" s="719"/>
      <c r="E66" s="729"/>
      <c r="F66" s="721"/>
      <c r="G66" s="568"/>
      <c r="H66" s="568"/>
      <c r="I66" s="568"/>
      <c r="J66" s="568"/>
      <c r="K66" s="721"/>
      <c r="L66" s="568"/>
      <c r="M66" s="568"/>
      <c r="N66" s="568"/>
      <c r="O66" s="722"/>
      <c r="P66" s="568"/>
      <c r="Q66" s="726"/>
      <c r="R66" s="855" t="e">
        <f t="shared" si="8"/>
        <v>#DIV/0!</v>
      </c>
      <c r="S66" s="726"/>
      <c r="T66" s="568"/>
      <c r="U66" s="726"/>
      <c r="V66" s="723"/>
      <c r="W66" s="726"/>
      <c r="X66" s="568"/>
      <c r="Y66" s="568"/>
      <c r="Z66" s="568"/>
      <c r="AA66" s="568"/>
      <c r="AB66" s="247">
        <f>W66*1.7%</f>
        <v>0</v>
      </c>
      <c r="AC66" s="247">
        <f t="shared" si="9"/>
        <v>0</v>
      </c>
      <c r="AD66" s="761"/>
      <c r="AE66" s="762"/>
      <c r="AF66" s="568"/>
      <c r="AG66" s="568"/>
      <c r="AH66" s="568">
        <v>807853</v>
      </c>
      <c r="AI66" s="767"/>
      <c r="AJ66" s="568"/>
    </row>
    <row r="67" spans="1:36" s="258" customFormat="1" ht="20.100000000000001" customHeight="1">
      <c r="A67" s="724"/>
      <c r="B67" s="568"/>
      <c r="C67" s="568"/>
      <c r="D67" s="719"/>
      <c r="E67" s="725"/>
      <c r="F67" s="568"/>
      <c r="G67" s="568"/>
      <c r="H67" s="568"/>
      <c r="I67" s="568"/>
      <c r="J67" s="568"/>
      <c r="K67" s="721"/>
      <c r="L67" s="568"/>
      <c r="M67" s="568"/>
      <c r="N67" s="568"/>
      <c r="O67" s="722"/>
      <c r="P67" s="568"/>
      <c r="Q67" s="726"/>
      <c r="R67" s="855" t="e">
        <f t="shared" si="8"/>
        <v>#DIV/0!</v>
      </c>
      <c r="S67" s="726"/>
      <c r="T67" s="568"/>
      <c r="U67" s="726"/>
      <c r="V67" s="723"/>
      <c r="W67" s="726"/>
      <c r="X67" s="568"/>
      <c r="Y67" s="568"/>
      <c r="Z67" s="568"/>
      <c r="AA67" s="568"/>
      <c r="AB67" s="247">
        <f>W67*1.5%</f>
        <v>0</v>
      </c>
      <c r="AC67" s="247">
        <f t="shared" si="9"/>
        <v>0</v>
      </c>
      <c r="AD67" s="761"/>
      <c r="AE67" s="762"/>
      <c r="AF67" s="568"/>
      <c r="AG67" s="568"/>
      <c r="AH67" s="568">
        <v>806857</v>
      </c>
      <c r="AI67" s="767"/>
      <c r="AJ67" s="568"/>
    </row>
    <row r="68" spans="1:36" s="258" customFormat="1" ht="20.100000000000001" customHeight="1">
      <c r="A68" s="724"/>
      <c r="B68" s="568" t="s">
        <v>1005</v>
      </c>
      <c r="C68" s="568" t="s">
        <v>995</v>
      </c>
      <c r="D68" s="719" t="s">
        <v>996</v>
      </c>
      <c r="E68" s="725">
        <v>13357958</v>
      </c>
      <c r="F68" s="568" t="s">
        <v>302</v>
      </c>
      <c r="G68" s="568"/>
      <c r="H68" s="568">
        <v>1</v>
      </c>
      <c r="I68" s="568"/>
      <c r="J68" s="568">
        <v>1</v>
      </c>
      <c r="K68" s="721" t="s">
        <v>89</v>
      </c>
      <c r="L68" s="568">
        <v>362344</v>
      </c>
      <c r="M68" s="568" t="s">
        <v>997</v>
      </c>
      <c r="N68" s="568" t="s">
        <v>998</v>
      </c>
      <c r="O68" s="883" t="s">
        <v>1000</v>
      </c>
      <c r="P68" s="568">
        <v>1</v>
      </c>
      <c r="Q68" s="726">
        <v>76100000</v>
      </c>
      <c r="R68" s="855">
        <f t="shared" si="8"/>
        <v>0</v>
      </c>
      <c r="S68" s="726">
        <v>76100000</v>
      </c>
      <c r="T68" s="568"/>
      <c r="U68" s="726"/>
      <c r="V68" s="723"/>
      <c r="W68" s="726">
        <v>76100000</v>
      </c>
      <c r="X68" s="568"/>
      <c r="Y68" s="568"/>
      <c r="Z68" s="568" t="s">
        <v>806</v>
      </c>
      <c r="AA68" s="568" t="s">
        <v>999</v>
      </c>
      <c r="AB68" s="247">
        <f>W68*0.15%</f>
        <v>114150</v>
      </c>
      <c r="AC68" s="247">
        <f t="shared" si="9"/>
        <v>68558558.558558553</v>
      </c>
      <c r="AD68" s="761"/>
      <c r="AE68" s="762" t="s">
        <v>768</v>
      </c>
      <c r="AF68" s="568" t="s">
        <v>778</v>
      </c>
      <c r="AG68" s="568" t="s">
        <v>778</v>
      </c>
      <c r="AH68" s="568">
        <v>806856</v>
      </c>
      <c r="AI68" s="743">
        <v>806422</v>
      </c>
      <c r="AJ68" s="912" t="s">
        <v>1326</v>
      </c>
    </row>
    <row r="69" spans="1:36" s="258" customFormat="1" ht="20.100000000000001" customHeight="1">
      <c r="A69" s="724"/>
      <c r="B69" s="568"/>
      <c r="C69" s="568"/>
      <c r="D69" s="719"/>
      <c r="E69" s="725"/>
      <c r="F69" s="729"/>
      <c r="G69" s="568"/>
      <c r="H69" s="568"/>
      <c r="I69" s="568"/>
      <c r="J69" s="568"/>
      <c r="K69" s="721"/>
      <c r="L69" s="568"/>
      <c r="M69" s="568"/>
      <c r="N69" s="568"/>
      <c r="O69" s="722"/>
      <c r="P69" s="568"/>
      <c r="Q69" s="726"/>
      <c r="R69" s="855" t="e">
        <f t="shared" ref="R69:R71" si="10">(Q69-S69)/Q69*100</f>
        <v>#DIV/0!</v>
      </c>
      <c r="S69" s="726"/>
      <c r="T69" s="568"/>
      <c r="U69" s="726"/>
      <c r="V69" s="723"/>
      <c r="W69" s="726"/>
      <c r="X69" s="568"/>
      <c r="Y69" s="568"/>
      <c r="Z69" s="568"/>
      <c r="AA69" s="568"/>
      <c r="AB69" s="247">
        <f>W69*7%</f>
        <v>0</v>
      </c>
      <c r="AC69" s="247">
        <f t="shared" ref="AC69:AC71" si="11">(S69/1.11)</f>
        <v>0</v>
      </c>
      <c r="AD69" s="761"/>
      <c r="AE69" s="762"/>
      <c r="AF69" s="568"/>
      <c r="AG69" s="568"/>
      <c r="AH69" s="568">
        <v>807617</v>
      </c>
      <c r="AI69" s="743"/>
      <c r="AJ69" s="734"/>
    </row>
    <row r="70" spans="1:36" s="258" customFormat="1" ht="20.100000000000001" customHeight="1">
      <c r="A70" s="724"/>
      <c r="B70" s="568"/>
      <c r="C70" s="568"/>
      <c r="D70" s="719"/>
      <c r="E70" s="725"/>
      <c r="F70" s="568"/>
      <c r="G70" s="568"/>
      <c r="H70" s="568"/>
      <c r="I70" s="568"/>
      <c r="J70" s="568"/>
      <c r="K70" s="568"/>
      <c r="L70" s="568"/>
      <c r="M70" s="568"/>
      <c r="N70" s="568"/>
      <c r="O70" s="722"/>
      <c r="P70" s="568"/>
      <c r="Q70" s="726"/>
      <c r="R70" s="855" t="e">
        <f t="shared" si="10"/>
        <v>#DIV/0!</v>
      </c>
      <c r="S70" s="726"/>
      <c r="T70" s="568"/>
      <c r="U70" s="726"/>
      <c r="V70" s="723"/>
      <c r="W70" s="726"/>
      <c r="X70" s="568"/>
      <c r="Y70" s="568"/>
      <c r="Z70" s="568"/>
      <c r="AA70" s="568"/>
      <c r="AB70" s="247">
        <f>W70*1%</f>
        <v>0</v>
      </c>
      <c r="AC70" s="247">
        <f t="shared" si="11"/>
        <v>0</v>
      </c>
      <c r="AD70" s="761"/>
      <c r="AE70" s="762"/>
      <c r="AF70" s="568"/>
      <c r="AG70" s="568"/>
      <c r="AH70" s="568">
        <v>807567</v>
      </c>
      <c r="AI70" s="743"/>
      <c r="AJ70" s="568"/>
    </row>
    <row r="71" spans="1:36" s="258" customFormat="1" ht="20.100000000000001" customHeight="1">
      <c r="A71" s="724"/>
      <c r="B71" s="568" t="s">
        <v>1006</v>
      </c>
      <c r="C71" s="568" t="s">
        <v>1001</v>
      </c>
      <c r="D71" s="719" t="s">
        <v>1002</v>
      </c>
      <c r="E71" s="725">
        <v>13669946</v>
      </c>
      <c r="F71" s="568" t="s">
        <v>302</v>
      </c>
      <c r="G71" s="568"/>
      <c r="H71" s="568">
        <v>1</v>
      </c>
      <c r="I71" s="568">
        <v>1</v>
      </c>
      <c r="J71" s="568"/>
      <c r="K71" s="568"/>
      <c r="L71" s="568"/>
      <c r="M71" s="734" t="s">
        <v>804</v>
      </c>
      <c r="N71" s="568"/>
      <c r="O71" s="735" t="s">
        <v>1003</v>
      </c>
      <c r="P71" s="568"/>
      <c r="Q71" s="726"/>
      <c r="R71" s="855" t="e">
        <f t="shared" si="10"/>
        <v>#DIV/0!</v>
      </c>
      <c r="S71" s="726"/>
      <c r="T71" s="568"/>
      <c r="U71" s="726"/>
      <c r="V71" s="723"/>
      <c r="W71" s="726">
        <v>223900000</v>
      </c>
      <c r="X71" s="568"/>
      <c r="Y71" s="568"/>
      <c r="Z71" s="568" t="s">
        <v>976</v>
      </c>
      <c r="AA71" s="568" t="s">
        <v>1004</v>
      </c>
      <c r="AB71" s="247">
        <f>W71*1.9%</f>
        <v>4254100</v>
      </c>
      <c r="AC71" s="247">
        <f t="shared" si="11"/>
        <v>0</v>
      </c>
      <c r="AD71" s="761"/>
      <c r="AE71" s="762" t="s">
        <v>781</v>
      </c>
      <c r="AF71" s="568" t="s">
        <v>781</v>
      </c>
      <c r="AG71" s="568"/>
      <c r="AH71" s="568">
        <v>807617</v>
      </c>
      <c r="AI71" s="743"/>
      <c r="AJ71" s="728"/>
    </row>
    <row r="72" spans="1:36" s="258" customFormat="1" ht="20.100000000000001" customHeight="1">
      <c r="A72" s="736"/>
      <c r="B72" s="737" t="s">
        <v>1365</v>
      </c>
      <c r="C72" s="737" t="s">
        <v>1007</v>
      </c>
      <c r="D72" s="738" t="s">
        <v>1008</v>
      </c>
      <c r="E72" s="725">
        <v>13435588</v>
      </c>
      <c r="F72" s="568" t="s">
        <v>302</v>
      </c>
      <c r="G72" s="737"/>
      <c r="H72" s="737">
        <v>1</v>
      </c>
      <c r="I72" s="737"/>
      <c r="J72" s="737">
        <v>1</v>
      </c>
      <c r="K72" s="721" t="s">
        <v>89</v>
      </c>
      <c r="L72" s="737">
        <v>357794</v>
      </c>
      <c r="M72" s="721" t="s">
        <v>1009</v>
      </c>
      <c r="N72" s="737" t="s">
        <v>1010</v>
      </c>
      <c r="O72" s="739" t="s">
        <v>1011</v>
      </c>
      <c r="P72" s="737">
        <v>1</v>
      </c>
      <c r="Q72" s="740">
        <v>115500000</v>
      </c>
      <c r="R72" s="855">
        <f>(Q72-S72)/Q72*100</f>
        <v>0</v>
      </c>
      <c r="S72" s="740">
        <v>115500000</v>
      </c>
      <c r="T72" s="892" t="s">
        <v>840</v>
      </c>
      <c r="U72" s="740"/>
      <c r="V72" s="756"/>
      <c r="W72" s="740">
        <v>113000000</v>
      </c>
      <c r="X72" s="737"/>
      <c r="Y72" s="737"/>
      <c r="Z72" s="737" t="s">
        <v>806</v>
      </c>
      <c r="AA72" s="568" t="s">
        <v>1012</v>
      </c>
      <c r="AB72" s="247">
        <f>W72*4%</f>
        <v>4520000</v>
      </c>
      <c r="AC72" s="247">
        <f t="shared" ref="AC72:AC103" si="12">(S72/1.11)</f>
        <v>104054054.05405405</v>
      </c>
      <c r="AD72" s="765"/>
      <c r="AE72" s="766" t="s">
        <v>768</v>
      </c>
      <c r="AF72" s="737" t="s">
        <v>768</v>
      </c>
      <c r="AG72" s="737" t="s">
        <v>768</v>
      </c>
      <c r="AH72" s="721">
        <v>807567</v>
      </c>
      <c r="AI72" s="743">
        <v>806422</v>
      </c>
      <c r="AJ72" s="734" t="s">
        <v>863</v>
      </c>
    </row>
    <row r="73" spans="1:36" s="258" customFormat="1" ht="20.100000000000001" customHeight="1">
      <c r="A73" s="724"/>
      <c r="B73" s="568"/>
      <c r="C73" s="568"/>
      <c r="D73" s="719"/>
      <c r="E73" s="725"/>
      <c r="F73" s="729"/>
      <c r="G73" s="568"/>
      <c r="H73" s="568"/>
      <c r="I73" s="568"/>
      <c r="J73" s="568"/>
      <c r="K73" s="721"/>
      <c r="L73" s="568"/>
      <c r="M73" s="568"/>
      <c r="N73" s="568"/>
      <c r="O73" s="722"/>
      <c r="P73" s="568"/>
      <c r="Q73" s="726"/>
      <c r="R73" s="855" t="e">
        <f>(Q73-S73)/Q73*100</f>
        <v>#DIV/0!</v>
      </c>
      <c r="S73" s="726"/>
      <c r="T73" s="568"/>
      <c r="U73" s="726"/>
      <c r="V73" s="723"/>
      <c r="W73" s="726"/>
      <c r="X73" s="568"/>
      <c r="Y73" s="568"/>
      <c r="Z73" s="568"/>
      <c r="AA73" s="568"/>
      <c r="AB73" s="247">
        <f>W73*0.15%</f>
        <v>0</v>
      </c>
      <c r="AC73" s="247">
        <f t="shared" si="12"/>
        <v>0</v>
      </c>
      <c r="AD73" s="761"/>
      <c r="AE73" s="762"/>
      <c r="AF73" s="568"/>
      <c r="AG73" s="568"/>
      <c r="AH73" s="568">
        <v>807617</v>
      </c>
      <c r="AI73" s="743"/>
      <c r="AJ73" s="832" t="s">
        <v>969</v>
      </c>
    </row>
    <row r="74" spans="1:36" s="258" customFormat="1" ht="20.100000000000001" customHeight="1">
      <c r="A74" s="718"/>
      <c r="B74" s="568"/>
      <c r="C74" s="568"/>
      <c r="D74" s="719"/>
      <c r="E74" s="725"/>
      <c r="F74" s="721"/>
      <c r="G74" s="568"/>
      <c r="H74" s="568"/>
      <c r="I74" s="568"/>
      <c r="J74" s="568"/>
      <c r="K74" s="737"/>
      <c r="L74" s="568"/>
      <c r="M74" s="568"/>
      <c r="N74" s="568"/>
      <c r="O74" s="722"/>
      <c r="P74" s="568"/>
      <c r="Q74" s="726"/>
      <c r="R74" s="855" t="e">
        <f t="shared" ref="R74" si="13">(Q74-S74)/Q74*100</f>
        <v>#DIV/0!</v>
      </c>
      <c r="S74" s="726"/>
      <c r="T74" s="737"/>
      <c r="U74" s="740"/>
      <c r="V74" s="756"/>
      <c r="W74" s="726"/>
      <c r="X74" s="737"/>
      <c r="Y74" s="737"/>
      <c r="Z74" s="737"/>
      <c r="AA74" s="568"/>
      <c r="AB74" s="247">
        <f>W74*0.15%</f>
        <v>0</v>
      </c>
      <c r="AC74" s="247">
        <f t="shared" si="12"/>
        <v>0</v>
      </c>
      <c r="AD74" s="765">
        <f>SUM(AC58:AC74)</f>
        <v>707297297.29729724</v>
      </c>
      <c r="AE74" s="766"/>
      <c r="AF74" s="737"/>
      <c r="AG74" s="737"/>
      <c r="AH74" s="721">
        <v>806856</v>
      </c>
      <c r="AI74" s="767"/>
      <c r="AJ74" s="892" t="s">
        <v>840</v>
      </c>
    </row>
    <row r="75" spans="1:36" s="258" customFormat="1" ht="20.100000000000001" customHeight="1">
      <c r="A75" s="718">
        <v>46272</v>
      </c>
      <c r="B75" s="746" t="s">
        <v>1014</v>
      </c>
      <c r="C75" s="746" t="s">
        <v>1015</v>
      </c>
      <c r="D75" s="747" t="s">
        <v>1016</v>
      </c>
      <c r="E75" s="729">
        <v>13672609</v>
      </c>
      <c r="F75" s="746" t="s">
        <v>184</v>
      </c>
      <c r="G75" s="746">
        <v>1</v>
      </c>
      <c r="H75" s="746"/>
      <c r="I75" s="746">
        <v>1</v>
      </c>
      <c r="J75" s="746"/>
      <c r="K75" s="721" t="s">
        <v>89</v>
      </c>
      <c r="L75" s="746">
        <v>361838</v>
      </c>
      <c r="M75" s="748" t="s">
        <v>1017</v>
      </c>
      <c r="N75" s="746" t="s">
        <v>1018</v>
      </c>
      <c r="O75" s="749" t="s">
        <v>1019</v>
      </c>
      <c r="P75" s="746">
        <v>1</v>
      </c>
      <c r="Q75" s="750">
        <v>75100000</v>
      </c>
      <c r="R75" s="855">
        <f t="shared" ref="R75:R106" si="14">(Q75-S75)/Q75*100</f>
        <v>0</v>
      </c>
      <c r="S75" s="750">
        <f>Q75</f>
        <v>75100000</v>
      </c>
      <c r="T75" s="746"/>
      <c r="U75" s="750"/>
      <c r="V75" s="758"/>
      <c r="W75" s="750">
        <f>S75</f>
        <v>75100000</v>
      </c>
      <c r="X75" s="746"/>
      <c r="Y75" s="746"/>
      <c r="Z75" s="746" t="s">
        <v>1020</v>
      </c>
      <c r="AA75" s="759" t="s">
        <v>1021</v>
      </c>
      <c r="AB75" s="247">
        <f>W75*1.7%</f>
        <v>1276700</v>
      </c>
      <c r="AC75" s="247">
        <f t="shared" si="12"/>
        <v>67657657.657657653</v>
      </c>
      <c r="AD75" s="770"/>
      <c r="AE75" s="771" t="s">
        <v>769</v>
      </c>
      <c r="AF75" s="746" t="s">
        <v>769</v>
      </c>
      <c r="AG75" s="746" t="s">
        <v>769</v>
      </c>
      <c r="AH75" s="748">
        <v>806856</v>
      </c>
      <c r="AI75" s="743">
        <v>806422</v>
      </c>
      <c r="AJ75" s="760" t="s">
        <v>291</v>
      </c>
    </row>
    <row r="76" spans="1:36" s="258" customFormat="1" ht="20.100000000000001" customHeight="1">
      <c r="A76" s="745"/>
      <c r="B76" s="746"/>
      <c r="C76" s="746"/>
      <c r="D76" s="747"/>
      <c r="E76" s="729"/>
      <c r="F76" s="746"/>
      <c r="G76" s="746"/>
      <c r="H76" s="746"/>
      <c r="I76" s="746"/>
      <c r="J76" s="746"/>
      <c r="K76" s="746"/>
      <c r="L76" s="746"/>
      <c r="M76" s="746"/>
      <c r="N76" s="746"/>
      <c r="O76" s="749"/>
      <c r="P76" s="746"/>
      <c r="Q76" s="750"/>
      <c r="R76" s="855" t="e">
        <f t="shared" si="14"/>
        <v>#DIV/0!</v>
      </c>
      <c r="S76" s="750"/>
      <c r="T76" s="746"/>
      <c r="U76" s="750"/>
      <c r="V76" s="758"/>
      <c r="W76" s="750"/>
      <c r="X76" s="746"/>
      <c r="Y76" s="746"/>
      <c r="Z76" s="746"/>
      <c r="AA76" s="746"/>
      <c r="AB76" s="247">
        <f t="shared" ref="AB76:AB319" si="15">W76*1.5%</f>
        <v>0</v>
      </c>
      <c r="AC76" s="247">
        <f t="shared" si="12"/>
        <v>0</v>
      </c>
      <c r="AD76" s="770"/>
      <c r="AE76" s="771"/>
      <c r="AF76" s="746"/>
      <c r="AG76" s="746"/>
      <c r="AH76" s="746">
        <v>807617</v>
      </c>
      <c r="AI76" s="772"/>
      <c r="AJ76" s="746"/>
    </row>
    <row r="77" spans="1:36" s="258" customFormat="1" ht="20.100000000000001" customHeight="1">
      <c r="A77" s="745"/>
      <c r="B77" s="746"/>
      <c r="C77" s="746"/>
      <c r="D77" s="747"/>
      <c r="E77" s="729"/>
      <c r="F77" s="721"/>
      <c r="G77" s="746"/>
      <c r="H77" s="746"/>
      <c r="I77" s="746"/>
      <c r="J77" s="746"/>
      <c r="K77" s="746"/>
      <c r="L77" s="746"/>
      <c r="M77" s="746"/>
      <c r="N77" s="746"/>
      <c r="O77" s="749"/>
      <c r="P77" s="746"/>
      <c r="Q77" s="750"/>
      <c r="R77" s="855" t="e">
        <f t="shared" si="14"/>
        <v>#DIV/0!</v>
      </c>
      <c r="S77" s="750"/>
      <c r="T77" s="746"/>
      <c r="U77" s="750"/>
      <c r="V77" s="758"/>
      <c r="W77" s="750"/>
      <c r="X77" s="746"/>
      <c r="Y77" s="746"/>
      <c r="Z77" s="746"/>
      <c r="AA77" s="746"/>
      <c r="AB77" s="247">
        <f>W77*0.15%</f>
        <v>0</v>
      </c>
      <c r="AC77" s="247">
        <f t="shared" si="12"/>
        <v>0</v>
      </c>
      <c r="AD77" s="770"/>
      <c r="AE77" s="771"/>
      <c r="AF77" s="746"/>
      <c r="AG77" s="746"/>
      <c r="AH77" s="746">
        <v>807567</v>
      </c>
      <c r="AI77" s="772"/>
      <c r="AJ77" s="746"/>
    </row>
    <row r="78" spans="1:36" s="258" customFormat="1" ht="20.100000000000001" customHeight="1">
      <c r="A78" s="718"/>
      <c r="B78" s="746" t="s">
        <v>1022</v>
      </c>
      <c r="C78" s="746" t="s">
        <v>1023</v>
      </c>
      <c r="D78" s="747" t="s">
        <v>1024</v>
      </c>
      <c r="E78" s="729">
        <v>13644026</v>
      </c>
      <c r="F78" s="568" t="s">
        <v>302</v>
      </c>
      <c r="G78" s="737"/>
      <c r="H78" s="737">
        <v>1</v>
      </c>
      <c r="I78" s="737"/>
      <c r="J78" s="737">
        <v>1</v>
      </c>
      <c r="K78" s="721" t="s">
        <v>89</v>
      </c>
      <c r="L78" s="746">
        <v>350898</v>
      </c>
      <c r="M78" s="746" t="s">
        <v>1025</v>
      </c>
      <c r="N78" s="746" t="s">
        <v>1026</v>
      </c>
      <c r="O78" s="749" t="s">
        <v>1027</v>
      </c>
      <c r="P78" s="746">
        <v>1</v>
      </c>
      <c r="Q78" s="750">
        <v>113600000</v>
      </c>
      <c r="R78" s="855">
        <f t="shared" si="14"/>
        <v>0</v>
      </c>
      <c r="S78" s="750">
        <f>Q78</f>
        <v>113600000</v>
      </c>
      <c r="T78" s="746"/>
      <c r="U78" s="750"/>
      <c r="V78" s="750"/>
      <c r="W78" s="750">
        <f>S78</f>
        <v>113600000</v>
      </c>
      <c r="X78" s="746"/>
      <c r="Y78" s="746"/>
      <c r="Z78" s="746" t="s">
        <v>806</v>
      </c>
      <c r="AA78" s="746" t="s">
        <v>999</v>
      </c>
      <c r="AB78" s="247">
        <f>W78*0.15%</f>
        <v>170400</v>
      </c>
      <c r="AC78" s="247">
        <f t="shared" si="12"/>
        <v>102342342.34234233</v>
      </c>
      <c r="AD78" s="770"/>
      <c r="AE78" s="771" t="s">
        <v>781</v>
      </c>
      <c r="AF78" s="746" t="s">
        <v>781</v>
      </c>
      <c r="AG78" s="746" t="s">
        <v>781</v>
      </c>
      <c r="AH78" s="746">
        <v>807569</v>
      </c>
      <c r="AI78" s="743">
        <v>806422</v>
      </c>
      <c r="AJ78" s="728"/>
    </row>
    <row r="79" spans="1:36" s="258" customFormat="1" ht="20.100000000000001" customHeight="1">
      <c r="A79" s="745"/>
      <c r="B79" s="746"/>
      <c r="C79" s="746"/>
      <c r="D79" s="747"/>
      <c r="E79" s="729"/>
      <c r="F79" s="746"/>
      <c r="G79" s="746"/>
      <c r="H79" s="746"/>
      <c r="I79" s="746"/>
      <c r="J79" s="746"/>
      <c r="K79" s="746"/>
      <c r="L79" s="746"/>
      <c r="M79" s="734"/>
      <c r="N79" s="746"/>
      <c r="O79" s="735"/>
      <c r="P79" s="746"/>
      <c r="Q79" s="750"/>
      <c r="R79" s="855" t="e">
        <f t="shared" si="14"/>
        <v>#DIV/0!</v>
      </c>
      <c r="S79" s="750"/>
      <c r="T79" s="746"/>
      <c r="U79" s="750"/>
      <c r="V79" s="758"/>
      <c r="W79" s="750"/>
      <c r="X79" s="746"/>
      <c r="Y79" s="746"/>
      <c r="Z79" s="746"/>
      <c r="AA79" s="746"/>
      <c r="AB79" s="247">
        <f t="shared" si="15"/>
        <v>0</v>
      </c>
      <c r="AC79" s="247">
        <f t="shared" si="12"/>
        <v>0</v>
      </c>
      <c r="AD79" s="770"/>
      <c r="AE79" s="771"/>
      <c r="AF79" s="746"/>
      <c r="AG79" s="746"/>
      <c r="AH79" s="746">
        <v>806856</v>
      </c>
      <c r="AI79" s="772"/>
      <c r="AJ79" s="760"/>
    </row>
    <row r="80" spans="1:36" s="258" customFormat="1" ht="20.100000000000001" customHeight="1">
      <c r="A80" s="751"/>
      <c r="B80" s="729"/>
      <c r="C80" s="729"/>
      <c r="D80" s="732"/>
      <c r="E80" s="729"/>
      <c r="F80" s="729"/>
      <c r="G80" s="729"/>
      <c r="H80" s="729"/>
      <c r="I80" s="729"/>
      <c r="J80" s="729"/>
      <c r="K80" s="729"/>
      <c r="L80" s="729"/>
      <c r="M80" s="729"/>
      <c r="N80" s="729"/>
      <c r="O80" s="730"/>
      <c r="P80" s="729"/>
      <c r="Q80" s="731"/>
      <c r="R80" s="855" t="e">
        <f t="shared" si="14"/>
        <v>#DIV/0!</v>
      </c>
      <c r="S80" s="731"/>
      <c r="T80" s="729"/>
      <c r="U80" s="731"/>
      <c r="V80" s="755"/>
      <c r="W80" s="731"/>
      <c r="X80" s="729"/>
      <c r="Y80" s="729"/>
      <c r="Z80" s="729"/>
      <c r="AA80" s="729"/>
      <c r="AB80" s="247">
        <f t="shared" si="15"/>
        <v>0</v>
      </c>
      <c r="AC80" s="247">
        <f t="shared" si="12"/>
        <v>0</v>
      </c>
      <c r="AD80" s="763"/>
      <c r="AE80" s="764"/>
      <c r="AF80" s="729"/>
      <c r="AG80" s="729"/>
      <c r="AH80" s="729">
        <v>807617</v>
      </c>
      <c r="AI80" s="753"/>
      <c r="AJ80" s="752"/>
    </row>
    <row r="81" spans="1:36" s="258" customFormat="1" ht="20.100000000000001" customHeight="1">
      <c r="A81" s="751"/>
      <c r="B81" s="729" t="s">
        <v>1028</v>
      </c>
      <c r="C81" s="729" t="s">
        <v>1029</v>
      </c>
      <c r="D81" s="747" t="s">
        <v>1030</v>
      </c>
      <c r="E81" s="729">
        <v>13671383</v>
      </c>
      <c r="F81" s="568" t="s">
        <v>302</v>
      </c>
      <c r="G81" s="729">
        <v>1</v>
      </c>
      <c r="H81" s="729"/>
      <c r="I81" s="729">
        <v>1</v>
      </c>
      <c r="J81" s="729"/>
      <c r="K81" s="721" t="s">
        <v>89</v>
      </c>
      <c r="L81" s="729">
        <v>358228</v>
      </c>
      <c r="M81" s="568" t="s">
        <v>1031</v>
      </c>
      <c r="N81" s="746" t="s">
        <v>1032</v>
      </c>
      <c r="O81" s="722" t="s">
        <v>1033</v>
      </c>
      <c r="P81" s="729">
        <v>1</v>
      </c>
      <c r="Q81" s="731">
        <v>59300000</v>
      </c>
      <c r="R81" s="855">
        <f t="shared" si="14"/>
        <v>0</v>
      </c>
      <c r="S81" s="731">
        <f>Q81</f>
        <v>59300000</v>
      </c>
      <c r="T81" s="729"/>
      <c r="U81" s="731"/>
      <c r="V81" s="755"/>
      <c r="W81" s="731">
        <f>S81</f>
        <v>59300000</v>
      </c>
      <c r="X81" s="729"/>
      <c r="Y81" s="729"/>
      <c r="Z81" s="729" t="s">
        <v>806</v>
      </c>
      <c r="AA81" s="746" t="s">
        <v>999</v>
      </c>
      <c r="AB81" s="247">
        <f>W81*0.15%</f>
        <v>88950</v>
      </c>
      <c r="AC81" s="247">
        <f t="shared" si="12"/>
        <v>53423423.423423417</v>
      </c>
      <c r="AD81" s="763"/>
      <c r="AE81" s="764" t="s">
        <v>781</v>
      </c>
      <c r="AF81" s="729" t="s">
        <v>781</v>
      </c>
      <c r="AG81" s="729" t="s">
        <v>781</v>
      </c>
      <c r="AH81" s="729">
        <v>806856</v>
      </c>
      <c r="AI81" s="743">
        <v>806422</v>
      </c>
      <c r="AJ81" s="760" t="s">
        <v>1034</v>
      </c>
    </row>
    <row r="82" spans="1:36" s="258" customFormat="1" ht="20.100000000000001" customHeight="1">
      <c r="A82" s="718"/>
      <c r="B82" s="729"/>
      <c r="C82" s="729"/>
      <c r="D82" s="732"/>
      <c r="E82" s="729"/>
      <c r="F82" s="729"/>
      <c r="G82" s="729"/>
      <c r="H82" s="729"/>
      <c r="I82" s="729"/>
      <c r="J82" s="729"/>
      <c r="K82" s="729"/>
      <c r="L82" s="729"/>
      <c r="M82" s="734"/>
      <c r="N82" s="729"/>
      <c r="O82" s="735"/>
      <c r="P82" s="729"/>
      <c r="Q82" s="731"/>
      <c r="R82" s="855" t="e">
        <f t="shared" si="14"/>
        <v>#DIV/0!</v>
      </c>
      <c r="S82" s="731"/>
      <c r="T82" s="729"/>
      <c r="U82" s="731"/>
      <c r="V82" s="755"/>
      <c r="W82" s="731"/>
      <c r="X82" s="729"/>
      <c r="Y82" s="729"/>
      <c r="Z82" s="729"/>
      <c r="AA82" s="729"/>
      <c r="AB82" s="247">
        <f t="shared" si="15"/>
        <v>0</v>
      </c>
      <c r="AC82" s="247">
        <f t="shared" si="12"/>
        <v>0</v>
      </c>
      <c r="AD82" s="763"/>
      <c r="AE82" s="764"/>
      <c r="AF82" s="729"/>
      <c r="AG82" s="729"/>
      <c r="AH82" s="729">
        <v>807617</v>
      </c>
      <c r="AI82" s="753"/>
      <c r="AJ82" s="760"/>
    </row>
    <row r="83" spans="1:36" s="258" customFormat="1" ht="20.100000000000001" customHeight="1">
      <c r="A83" s="751"/>
      <c r="B83" s="729"/>
      <c r="C83" s="729"/>
      <c r="D83" s="732"/>
      <c r="E83" s="729"/>
      <c r="F83" s="721"/>
      <c r="G83" s="729"/>
      <c r="H83" s="729"/>
      <c r="I83" s="729"/>
      <c r="J83" s="729"/>
      <c r="K83" s="721"/>
      <c r="L83" s="729"/>
      <c r="M83" s="729"/>
      <c r="N83" s="729"/>
      <c r="O83" s="730"/>
      <c r="P83" s="729"/>
      <c r="Q83" s="731"/>
      <c r="R83" s="855" t="e">
        <f t="shared" si="14"/>
        <v>#DIV/0!</v>
      </c>
      <c r="S83" s="731"/>
      <c r="T83" s="729"/>
      <c r="U83" s="731"/>
      <c r="V83" s="755"/>
      <c r="W83" s="731"/>
      <c r="X83" s="729"/>
      <c r="Y83" s="729"/>
      <c r="Z83" s="737"/>
      <c r="AA83" s="729"/>
      <c r="AB83" s="247">
        <f>W83*1.75%</f>
        <v>0</v>
      </c>
      <c r="AC83" s="247">
        <f t="shared" si="12"/>
        <v>0</v>
      </c>
      <c r="AD83" s="763">
        <f>SUM(AC75:AC83)</f>
        <v>223423423.42342341</v>
      </c>
      <c r="AE83" s="764"/>
      <c r="AF83" s="729"/>
      <c r="AG83" s="729"/>
      <c r="AH83" s="729">
        <v>806742</v>
      </c>
      <c r="AI83" s="767"/>
      <c r="AJ83" s="752"/>
    </row>
    <row r="84" spans="1:36" s="258" customFormat="1" ht="20.100000000000001" customHeight="1">
      <c r="A84" s="718">
        <v>46273</v>
      </c>
      <c r="B84" s="729" t="s">
        <v>1045</v>
      </c>
      <c r="C84" s="725" t="s">
        <v>1046</v>
      </c>
      <c r="D84" s="732" t="s">
        <v>981</v>
      </c>
      <c r="E84" s="725">
        <v>13670056</v>
      </c>
      <c r="F84" s="568" t="s">
        <v>302</v>
      </c>
      <c r="G84" s="729">
        <v>1</v>
      </c>
      <c r="H84" s="729"/>
      <c r="I84" s="729"/>
      <c r="J84" s="729">
        <v>1</v>
      </c>
      <c r="K84" s="721" t="s">
        <v>89</v>
      </c>
      <c r="L84" s="729">
        <v>360699</v>
      </c>
      <c r="M84" s="729" t="s">
        <v>1047</v>
      </c>
      <c r="N84" s="729" t="s">
        <v>1048</v>
      </c>
      <c r="O84" s="730" t="s">
        <v>1049</v>
      </c>
      <c r="P84" s="729">
        <v>1</v>
      </c>
      <c r="Q84" s="731">
        <v>813700000</v>
      </c>
      <c r="R84" s="855">
        <f t="shared" si="14"/>
        <v>5</v>
      </c>
      <c r="S84" s="731">
        <v>773015000</v>
      </c>
      <c r="T84" s="884" t="s">
        <v>1101</v>
      </c>
      <c r="U84" s="731" t="s">
        <v>979</v>
      </c>
      <c r="V84" s="755">
        <v>673015000</v>
      </c>
      <c r="W84" s="731"/>
      <c r="X84" s="729"/>
      <c r="Y84" s="729" t="s">
        <v>806</v>
      </c>
      <c r="Z84" s="729"/>
      <c r="AA84" s="729"/>
      <c r="AB84" s="247">
        <f t="shared" si="15"/>
        <v>0</v>
      </c>
      <c r="AC84" s="247">
        <f t="shared" si="12"/>
        <v>696409909.90990984</v>
      </c>
      <c r="AD84" s="763"/>
      <c r="AE84" s="764" t="s">
        <v>778</v>
      </c>
      <c r="AF84" s="729" t="s">
        <v>778</v>
      </c>
      <c r="AG84" s="729" t="s">
        <v>778</v>
      </c>
      <c r="AH84" s="729">
        <v>807574</v>
      </c>
      <c r="AI84" s="743">
        <v>806422</v>
      </c>
      <c r="AJ84" s="834"/>
    </row>
    <row r="85" spans="1:36" s="258" customFormat="1" ht="20.100000000000001" customHeight="1">
      <c r="A85" s="751"/>
      <c r="B85" s="729"/>
      <c r="C85" s="729"/>
      <c r="D85" s="732"/>
      <c r="E85" s="720"/>
      <c r="F85" s="729"/>
      <c r="G85" s="729"/>
      <c r="H85" s="729"/>
      <c r="I85" s="729"/>
      <c r="J85" s="729"/>
      <c r="K85" s="737"/>
      <c r="L85" s="729"/>
      <c r="M85" s="729"/>
      <c r="N85" s="729"/>
      <c r="O85" s="730"/>
      <c r="P85" s="729"/>
      <c r="Q85" s="731"/>
      <c r="R85" s="855" t="e">
        <f t="shared" si="14"/>
        <v>#DIV/0!</v>
      </c>
      <c r="S85" s="731"/>
      <c r="T85" s="729"/>
      <c r="U85" s="731"/>
      <c r="V85" s="755"/>
      <c r="W85" s="731"/>
      <c r="X85" s="729"/>
      <c r="Y85" s="729"/>
      <c r="Z85" s="729"/>
      <c r="AA85" s="729"/>
      <c r="AB85" s="247">
        <f t="shared" si="15"/>
        <v>0</v>
      </c>
      <c r="AC85" s="247">
        <f t="shared" si="12"/>
        <v>0</v>
      </c>
      <c r="AD85" s="763"/>
      <c r="AE85" s="764"/>
      <c r="AF85" s="729"/>
      <c r="AG85" s="729"/>
      <c r="AH85" s="729">
        <v>806857</v>
      </c>
      <c r="AI85" s="753"/>
      <c r="AJ85" s="773"/>
    </row>
    <row r="86" spans="1:36" s="258" customFormat="1" ht="20.100000000000001" customHeight="1">
      <c r="A86" s="718"/>
      <c r="B86" s="729"/>
      <c r="C86" s="729"/>
      <c r="D86" s="732"/>
      <c r="E86" s="729"/>
      <c r="F86" s="721"/>
      <c r="G86" s="729"/>
      <c r="H86" s="729"/>
      <c r="I86" s="729"/>
      <c r="J86" s="729"/>
      <c r="K86" s="737"/>
      <c r="L86" s="729"/>
      <c r="M86" s="729"/>
      <c r="N86" s="729"/>
      <c r="O86" s="730"/>
      <c r="P86" s="729"/>
      <c r="Q86" s="731"/>
      <c r="R86" s="855" t="e">
        <f t="shared" si="14"/>
        <v>#DIV/0!</v>
      </c>
      <c r="S86" s="731"/>
      <c r="T86" s="729"/>
      <c r="U86" s="731"/>
      <c r="V86" s="755"/>
      <c r="W86" s="731"/>
      <c r="X86" s="729"/>
      <c r="Y86" s="729"/>
      <c r="Z86" s="729"/>
      <c r="AA86" s="729"/>
      <c r="AB86" s="247">
        <f t="shared" si="15"/>
        <v>0</v>
      </c>
      <c r="AC86" s="247">
        <f t="shared" si="12"/>
        <v>0</v>
      </c>
      <c r="AD86" s="763"/>
      <c r="AE86" s="764"/>
      <c r="AF86" s="729"/>
      <c r="AG86" s="729"/>
      <c r="AH86" s="729">
        <v>807617</v>
      </c>
      <c r="AI86" s="753"/>
      <c r="AJ86" s="754"/>
    </row>
    <row r="87" spans="1:36" s="258" customFormat="1" ht="20.100000000000001" customHeight="1">
      <c r="A87" s="751"/>
      <c r="B87" s="729" t="s">
        <v>1072</v>
      </c>
      <c r="C87" s="729" t="s">
        <v>1071</v>
      </c>
      <c r="D87" s="732" t="s">
        <v>1073</v>
      </c>
      <c r="E87" s="729">
        <v>13236928</v>
      </c>
      <c r="F87" s="568" t="s">
        <v>302</v>
      </c>
      <c r="G87" s="729"/>
      <c r="H87" s="729">
        <v>1</v>
      </c>
      <c r="I87" s="729"/>
      <c r="J87" s="729">
        <v>1</v>
      </c>
      <c r="K87" s="721" t="s">
        <v>89</v>
      </c>
      <c r="L87" s="729">
        <v>361839</v>
      </c>
      <c r="M87" s="729" t="s">
        <v>1074</v>
      </c>
      <c r="N87" s="729" t="s">
        <v>1075</v>
      </c>
      <c r="O87" s="730" t="s">
        <v>1076</v>
      </c>
      <c r="P87" s="729">
        <v>1</v>
      </c>
      <c r="Q87" s="731">
        <v>67500000</v>
      </c>
      <c r="R87" s="855">
        <f t="shared" si="14"/>
        <v>0</v>
      </c>
      <c r="S87" s="731">
        <f>Q87</f>
        <v>67500000</v>
      </c>
      <c r="T87" s="729"/>
      <c r="U87" s="731"/>
      <c r="V87" s="755"/>
      <c r="W87" s="731">
        <f>S87</f>
        <v>67500000</v>
      </c>
      <c r="X87" s="729"/>
      <c r="Y87" s="729"/>
      <c r="Z87" s="729" t="s">
        <v>917</v>
      </c>
      <c r="AA87" s="729" t="s">
        <v>1077</v>
      </c>
      <c r="AB87" s="247">
        <f>W87*1.7%</f>
        <v>1147500</v>
      </c>
      <c r="AC87" s="247">
        <f t="shared" si="12"/>
        <v>60810810.810810804</v>
      </c>
      <c r="AD87" s="763"/>
      <c r="AE87" s="764" t="s">
        <v>775</v>
      </c>
      <c r="AF87" s="729" t="s">
        <v>775</v>
      </c>
      <c r="AG87" s="729" t="s">
        <v>775</v>
      </c>
      <c r="AH87" s="729">
        <v>806856</v>
      </c>
      <c r="AI87" s="743">
        <v>806422</v>
      </c>
      <c r="AJ87" s="742"/>
    </row>
    <row r="88" spans="1:36" s="258" customFormat="1" ht="20.100000000000001" customHeight="1">
      <c r="A88" s="751"/>
      <c r="B88" s="729"/>
      <c r="C88" s="729"/>
      <c r="D88" s="732"/>
      <c r="E88" s="729"/>
      <c r="F88" s="729"/>
      <c r="G88" s="729"/>
      <c r="H88" s="729"/>
      <c r="I88" s="729"/>
      <c r="J88" s="729"/>
      <c r="K88" s="729"/>
      <c r="L88" s="729"/>
      <c r="M88" s="729"/>
      <c r="N88" s="729"/>
      <c r="O88" s="730"/>
      <c r="P88" s="729"/>
      <c r="Q88" s="731"/>
      <c r="R88" s="855" t="e">
        <f t="shared" si="14"/>
        <v>#DIV/0!</v>
      </c>
      <c r="S88" s="731"/>
      <c r="T88" s="729"/>
      <c r="U88" s="731"/>
      <c r="V88" s="755"/>
      <c r="W88" s="731"/>
      <c r="X88" s="729"/>
      <c r="Y88" s="729"/>
      <c r="Z88" s="729"/>
      <c r="AA88" s="729"/>
      <c r="AB88" s="247">
        <f t="shared" si="15"/>
        <v>0</v>
      </c>
      <c r="AC88" s="247">
        <f t="shared" si="12"/>
        <v>0</v>
      </c>
      <c r="AD88" s="763"/>
      <c r="AE88" s="764"/>
      <c r="AF88" s="729"/>
      <c r="AG88" s="729"/>
      <c r="AH88" s="729">
        <v>807617</v>
      </c>
      <c r="AI88" s="753"/>
      <c r="AJ88" s="729"/>
    </row>
    <row r="89" spans="1:36" s="258" customFormat="1" ht="20.100000000000001" customHeight="1">
      <c r="A89" s="718"/>
      <c r="B89" s="729"/>
      <c r="C89" s="729"/>
      <c r="D89" s="732"/>
      <c r="E89" s="720"/>
      <c r="F89" s="729"/>
      <c r="G89" s="729"/>
      <c r="H89" s="729"/>
      <c r="I89" s="729"/>
      <c r="J89" s="729"/>
      <c r="K89" s="729"/>
      <c r="L89" s="729"/>
      <c r="M89" s="734"/>
      <c r="N89" s="729"/>
      <c r="O89" s="735"/>
      <c r="P89" s="729"/>
      <c r="Q89" s="731"/>
      <c r="R89" s="855" t="e">
        <f t="shared" si="14"/>
        <v>#DIV/0!</v>
      </c>
      <c r="S89" s="731"/>
      <c r="T89" s="729"/>
      <c r="U89" s="731"/>
      <c r="V89" s="755"/>
      <c r="W89" s="731"/>
      <c r="X89" s="729"/>
      <c r="Y89" s="729"/>
      <c r="Z89" s="729"/>
      <c r="AA89" s="729"/>
      <c r="AB89" s="247">
        <f t="shared" si="15"/>
        <v>0</v>
      </c>
      <c r="AC89" s="247">
        <f t="shared" si="12"/>
        <v>0</v>
      </c>
      <c r="AD89" s="763">
        <f>SUM(AC84:AC89)</f>
        <v>757220720.72072065</v>
      </c>
      <c r="AE89" s="764"/>
      <c r="AF89" s="729"/>
      <c r="AG89" s="729"/>
      <c r="AH89" s="729">
        <v>807570</v>
      </c>
      <c r="AI89" s="753"/>
      <c r="AJ89" s="752"/>
    </row>
    <row r="90" spans="1:36" s="258" customFormat="1" ht="20.100000000000001" customHeight="1">
      <c r="A90" s="718">
        <v>46274</v>
      </c>
      <c r="B90" s="729" t="s">
        <v>1078</v>
      </c>
      <c r="C90" s="729" t="s">
        <v>1079</v>
      </c>
      <c r="D90" s="732" t="s">
        <v>981</v>
      </c>
      <c r="E90" s="725">
        <v>13670056</v>
      </c>
      <c r="F90" s="568" t="s">
        <v>302</v>
      </c>
      <c r="G90" s="729"/>
      <c r="H90" s="729">
        <v>1</v>
      </c>
      <c r="I90" s="729"/>
      <c r="J90" s="729">
        <v>1</v>
      </c>
      <c r="K90" s="721" t="s">
        <v>89</v>
      </c>
      <c r="L90" s="729">
        <v>361357</v>
      </c>
      <c r="M90" s="568" t="s">
        <v>1080</v>
      </c>
      <c r="N90" s="729" t="s">
        <v>1081</v>
      </c>
      <c r="O90" s="722" t="s">
        <v>1082</v>
      </c>
      <c r="P90" s="729">
        <v>1</v>
      </c>
      <c r="Q90" s="731">
        <v>1601600000</v>
      </c>
      <c r="R90" s="855">
        <f t="shared" si="14"/>
        <v>10.402097902097902</v>
      </c>
      <c r="S90" s="731">
        <v>1435000000</v>
      </c>
      <c r="T90" s="884" t="s">
        <v>1101</v>
      </c>
      <c r="U90" s="731"/>
      <c r="V90" s="755">
        <v>1435000000</v>
      </c>
      <c r="W90" s="755"/>
      <c r="X90" s="729"/>
      <c r="Y90" s="729" t="s">
        <v>806</v>
      </c>
      <c r="Z90" s="729"/>
      <c r="AA90" s="729"/>
      <c r="AB90" s="247">
        <f>W90*1.4%</f>
        <v>0</v>
      </c>
      <c r="AC90" s="247">
        <f t="shared" si="12"/>
        <v>1292792792.7927928</v>
      </c>
      <c r="AD90" s="763"/>
      <c r="AE90" s="764" t="s">
        <v>778</v>
      </c>
      <c r="AF90" s="729" t="s">
        <v>778</v>
      </c>
      <c r="AG90" s="729" t="s">
        <v>778</v>
      </c>
      <c r="AH90" s="729">
        <v>807571</v>
      </c>
      <c r="AI90" s="753">
        <v>806422</v>
      </c>
      <c r="AJ90" s="754" t="s">
        <v>863</v>
      </c>
    </row>
    <row r="91" spans="1:36" s="258" customFormat="1" ht="19.5" customHeight="1">
      <c r="A91" s="751"/>
      <c r="B91" s="729"/>
      <c r="C91" s="729"/>
      <c r="D91" s="732"/>
      <c r="E91" s="729"/>
      <c r="F91" s="729"/>
      <c r="G91" s="729"/>
      <c r="H91" s="729"/>
      <c r="I91" s="729"/>
      <c r="J91" s="729"/>
      <c r="K91" s="729"/>
      <c r="L91" s="729"/>
      <c r="M91" s="734"/>
      <c r="N91" s="729"/>
      <c r="O91" s="735"/>
      <c r="P91" s="729"/>
      <c r="Q91" s="731"/>
      <c r="R91" s="855" t="e">
        <f t="shared" si="14"/>
        <v>#DIV/0!</v>
      </c>
      <c r="S91" s="731"/>
      <c r="T91" s="729"/>
      <c r="U91" s="731"/>
      <c r="V91" s="755"/>
      <c r="W91" s="731"/>
      <c r="X91" s="729"/>
      <c r="Y91" s="729"/>
      <c r="Z91" s="729"/>
      <c r="AA91" s="729"/>
      <c r="AB91" s="247">
        <f t="shared" si="15"/>
        <v>0</v>
      </c>
      <c r="AC91" s="247">
        <f t="shared" si="12"/>
        <v>0</v>
      </c>
      <c r="AD91" s="763"/>
      <c r="AE91" s="764"/>
      <c r="AF91" s="729"/>
      <c r="AG91" s="729"/>
      <c r="AH91" s="729">
        <v>806857</v>
      </c>
      <c r="AI91" s="753"/>
      <c r="AJ91" s="834" t="s">
        <v>1050</v>
      </c>
    </row>
    <row r="92" spans="1:36" s="258" customFormat="1" ht="19.5" customHeight="1">
      <c r="A92" s="751"/>
      <c r="B92" s="729"/>
      <c r="C92" s="729"/>
      <c r="D92" s="732"/>
      <c r="E92" s="729"/>
      <c r="F92" s="729"/>
      <c r="G92" s="729"/>
      <c r="H92" s="729"/>
      <c r="I92" s="729"/>
      <c r="J92" s="729"/>
      <c r="K92" s="721"/>
      <c r="L92" s="729"/>
      <c r="M92" s="729"/>
      <c r="N92" s="729"/>
      <c r="O92" s="730"/>
      <c r="P92" s="729"/>
      <c r="Q92" s="731"/>
      <c r="R92" s="855" t="e">
        <f t="shared" si="14"/>
        <v>#DIV/0!</v>
      </c>
      <c r="S92" s="731"/>
      <c r="T92" s="729"/>
      <c r="U92" s="731"/>
      <c r="V92" s="755"/>
      <c r="W92" s="731"/>
      <c r="X92" s="729"/>
      <c r="Y92" s="729"/>
      <c r="Z92" s="729"/>
      <c r="AA92" s="729"/>
      <c r="AB92" s="247">
        <f t="shared" si="15"/>
        <v>0</v>
      </c>
      <c r="AC92" s="247">
        <f t="shared" si="12"/>
        <v>0</v>
      </c>
      <c r="AD92" s="763"/>
      <c r="AE92" s="764"/>
      <c r="AF92" s="729"/>
      <c r="AG92" s="729"/>
      <c r="AH92" s="729">
        <v>807617</v>
      </c>
      <c r="AI92" s="753"/>
      <c r="AJ92" s="742"/>
    </row>
    <row r="93" spans="1:36" s="258" customFormat="1" ht="20.100000000000001" customHeight="1">
      <c r="A93" s="718"/>
      <c r="B93" s="729" t="s">
        <v>1087</v>
      </c>
      <c r="C93" s="729" t="s">
        <v>1088</v>
      </c>
      <c r="D93" s="732" t="s">
        <v>1089</v>
      </c>
      <c r="E93" s="720">
        <v>13131082</v>
      </c>
      <c r="F93" s="568" t="s">
        <v>302</v>
      </c>
      <c r="G93" s="729"/>
      <c r="H93" s="729">
        <v>1</v>
      </c>
      <c r="I93" s="729"/>
      <c r="J93" s="729">
        <v>1</v>
      </c>
      <c r="K93" s="721" t="s">
        <v>89</v>
      </c>
      <c r="L93" s="729">
        <v>351052</v>
      </c>
      <c r="M93" s="729" t="s">
        <v>1090</v>
      </c>
      <c r="N93" s="729" t="s">
        <v>1091</v>
      </c>
      <c r="O93" s="730" t="s">
        <v>1092</v>
      </c>
      <c r="P93" s="729">
        <v>1</v>
      </c>
      <c r="Q93" s="731">
        <v>121500000</v>
      </c>
      <c r="R93" s="855">
        <f t="shared" si="14"/>
        <v>0</v>
      </c>
      <c r="S93" s="731">
        <v>121500000</v>
      </c>
      <c r="T93" s="742"/>
      <c r="U93" s="731"/>
      <c r="V93" s="731">
        <v>121500000</v>
      </c>
      <c r="W93" s="731"/>
      <c r="X93" s="729"/>
      <c r="Y93" s="729" t="s">
        <v>806</v>
      </c>
      <c r="Z93" s="729"/>
      <c r="AA93" s="729"/>
      <c r="AB93" s="247">
        <f>W93*1.4%</f>
        <v>0</v>
      </c>
      <c r="AC93" s="247">
        <f t="shared" si="12"/>
        <v>109459459.45945945</v>
      </c>
      <c r="AD93" s="763"/>
      <c r="AE93" s="764" t="s">
        <v>775</v>
      </c>
      <c r="AF93" s="729" t="s">
        <v>775</v>
      </c>
      <c r="AG93" s="729" t="s">
        <v>775</v>
      </c>
      <c r="AH93" s="729">
        <v>807569</v>
      </c>
      <c r="AI93" s="753">
        <v>806422</v>
      </c>
      <c r="AJ93" s="834" t="s">
        <v>863</v>
      </c>
    </row>
    <row r="94" spans="1:36" s="258" customFormat="1" ht="20.100000000000001" customHeight="1">
      <c r="A94" s="751"/>
      <c r="B94" s="729"/>
      <c r="C94" s="729"/>
      <c r="D94" s="732"/>
      <c r="E94" s="729"/>
      <c r="F94" s="729"/>
      <c r="G94" s="729"/>
      <c r="H94" s="729"/>
      <c r="I94" s="729"/>
      <c r="J94" s="729"/>
      <c r="K94" s="729"/>
      <c r="L94" s="729"/>
      <c r="M94" s="729"/>
      <c r="N94" s="729"/>
      <c r="O94" s="730"/>
      <c r="P94" s="729"/>
      <c r="Q94" s="731"/>
      <c r="R94" s="855" t="e">
        <f t="shared" si="14"/>
        <v>#DIV/0!</v>
      </c>
      <c r="S94" s="731"/>
      <c r="T94" s="729"/>
      <c r="U94" s="731"/>
      <c r="V94" s="755"/>
      <c r="W94" s="731"/>
      <c r="X94" s="729"/>
      <c r="Y94" s="729"/>
      <c r="Z94" s="729"/>
      <c r="AA94" s="729"/>
      <c r="AB94" s="247">
        <f>W94*1.3%</f>
        <v>0</v>
      </c>
      <c r="AC94" s="247">
        <f t="shared" si="12"/>
        <v>0</v>
      </c>
      <c r="AD94" s="763"/>
      <c r="AE94" s="764"/>
      <c r="AF94" s="729"/>
      <c r="AG94" s="729"/>
      <c r="AH94" s="729">
        <v>806856</v>
      </c>
      <c r="AI94" s="753"/>
      <c r="AJ94" s="754"/>
    </row>
    <row r="95" spans="1:36" s="258" customFormat="1" ht="20.100000000000001" customHeight="1">
      <c r="A95" s="718"/>
      <c r="B95" s="729"/>
      <c r="C95" s="729"/>
      <c r="D95" s="732"/>
      <c r="E95" s="729"/>
      <c r="F95" s="729"/>
      <c r="G95" s="729"/>
      <c r="H95" s="729"/>
      <c r="I95" s="729"/>
      <c r="J95" s="729"/>
      <c r="K95" s="721"/>
      <c r="L95" s="729"/>
      <c r="M95" s="729"/>
      <c r="N95" s="729"/>
      <c r="O95" s="730"/>
      <c r="P95" s="729"/>
      <c r="Q95" s="731"/>
      <c r="R95" s="855" t="e">
        <f t="shared" si="14"/>
        <v>#DIV/0!</v>
      </c>
      <c r="S95" s="731"/>
      <c r="T95" s="729"/>
      <c r="U95" s="731"/>
      <c r="V95" s="755"/>
      <c r="W95" s="731"/>
      <c r="X95" s="729"/>
      <c r="Y95" s="729"/>
      <c r="Z95" s="729"/>
      <c r="AA95" s="729"/>
      <c r="AB95" s="247">
        <f>W95*0.15%</f>
        <v>0</v>
      </c>
      <c r="AC95" s="247">
        <f t="shared" si="12"/>
        <v>0</v>
      </c>
      <c r="AD95" s="763"/>
      <c r="AE95" s="764"/>
      <c r="AF95" s="729"/>
      <c r="AG95" s="729"/>
      <c r="AH95" s="729">
        <v>807617</v>
      </c>
      <c r="AI95" s="753"/>
      <c r="AJ95" s="729"/>
    </row>
    <row r="96" spans="1:36" s="258" customFormat="1" ht="20.100000000000001" customHeight="1">
      <c r="A96" s="751"/>
      <c r="B96" s="729" t="s">
        <v>1094</v>
      </c>
      <c r="C96" s="729" t="s">
        <v>1095</v>
      </c>
      <c r="D96" s="732" t="s">
        <v>1096</v>
      </c>
      <c r="E96" s="720">
        <v>13180410</v>
      </c>
      <c r="F96" s="568" t="s">
        <v>302</v>
      </c>
      <c r="G96" s="729">
        <v>1</v>
      </c>
      <c r="H96" s="729"/>
      <c r="I96" s="729">
        <v>1</v>
      </c>
      <c r="J96" s="729"/>
      <c r="K96" s="721" t="s">
        <v>89</v>
      </c>
      <c r="L96" s="729">
        <v>362345</v>
      </c>
      <c r="M96" s="729" t="s">
        <v>1097</v>
      </c>
      <c r="N96" s="729" t="s">
        <v>1098</v>
      </c>
      <c r="O96" s="730" t="s">
        <v>1099</v>
      </c>
      <c r="P96" s="729">
        <v>1</v>
      </c>
      <c r="Q96" s="731">
        <v>76100000</v>
      </c>
      <c r="R96" s="855">
        <f t="shared" si="14"/>
        <v>0</v>
      </c>
      <c r="S96" s="731">
        <v>76100000</v>
      </c>
      <c r="T96" s="892" t="s">
        <v>1093</v>
      </c>
      <c r="U96" s="731"/>
      <c r="V96" s="755"/>
      <c r="W96" s="731">
        <v>47500000</v>
      </c>
      <c r="X96" s="729"/>
      <c r="Y96" s="729"/>
      <c r="Z96" s="729" t="s">
        <v>976</v>
      </c>
      <c r="AA96" s="729" t="s">
        <v>1100</v>
      </c>
      <c r="AB96" s="247">
        <f>W96*1%</f>
        <v>475000</v>
      </c>
      <c r="AC96" s="247">
        <f t="shared" si="12"/>
        <v>68558558.558558553</v>
      </c>
      <c r="AD96" s="763"/>
      <c r="AE96" s="764" t="s">
        <v>769</v>
      </c>
      <c r="AF96" s="729" t="s">
        <v>769</v>
      </c>
      <c r="AG96" s="729" t="s">
        <v>769</v>
      </c>
      <c r="AH96" s="729">
        <v>807567</v>
      </c>
      <c r="AI96" s="753">
        <v>806422</v>
      </c>
      <c r="AJ96" s="892" t="s">
        <v>1093</v>
      </c>
    </row>
    <row r="97" spans="1:36" s="258" customFormat="1" ht="20.100000000000001" customHeight="1">
      <c r="A97" s="751"/>
      <c r="B97" s="729"/>
      <c r="C97" s="729"/>
      <c r="D97" s="732"/>
      <c r="E97" s="729"/>
      <c r="F97" s="729"/>
      <c r="G97" s="729"/>
      <c r="H97" s="729"/>
      <c r="I97" s="729"/>
      <c r="J97" s="729"/>
      <c r="K97" s="729"/>
      <c r="L97" s="729"/>
      <c r="M97" s="729"/>
      <c r="N97" s="729"/>
      <c r="O97" s="730"/>
      <c r="P97" s="729"/>
      <c r="Q97" s="731"/>
      <c r="R97" s="855" t="e">
        <f t="shared" si="14"/>
        <v>#DIV/0!</v>
      </c>
      <c r="S97" s="731"/>
      <c r="T97" s="729"/>
      <c r="U97" s="731"/>
      <c r="V97" s="755"/>
      <c r="W97" s="731">
        <v>26100000</v>
      </c>
      <c r="X97" s="729"/>
      <c r="Y97" s="729"/>
      <c r="Z97" s="729" t="s">
        <v>806</v>
      </c>
      <c r="AA97" s="729" t="s">
        <v>811</v>
      </c>
      <c r="AB97" s="247">
        <f>W97*1.3%</f>
        <v>339300.00000000006</v>
      </c>
      <c r="AC97" s="247">
        <f t="shared" si="12"/>
        <v>0</v>
      </c>
      <c r="AD97" s="763"/>
      <c r="AE97" s="764"/>
      <c r="AF97" s="729"/>
      <c r="AG97" s="729"/>
      <c r="AH97" s="729">
        <v>806856</v>
      </c>
      <c r="AI97" s="753"/>
      <c r="AJ97" s="729"/>
    </row>
    <row r="98" spans="1:36" s="258" customFormat="1" ht="20.100000000000001" customHeight="1">
      <c r="A98" s="751"/>
      <c r="B98" s="729"/>
      <c r="C98" s="729"/>
      <c r="D98" s="732"/>
      <c r="E98" s="729"/>
      <c r="F98" s="729"/>
      <c r="G98" s="729"/>
      <c r="H98" s="729"/>
      <c r="I98" s="729"/>
      <c r="J98" s="729"/>
      <c r="K98" s="737"/>
      <c r="L98" s="729"/>
      <c r="M98" s="729"/>
      <c r="N98" s="729"/>
      <c r="O98" s="730"/>
      <c r="P98" s="729"/>
      <c r="Q98" s="731"/>
      <c r="R98" s="855" t="e">
        <f t="shared" si="14"/>
        <v>#DIV/0!</v>
      </c>
      <c r="S98" s="731"/>
      <c r="T98" s="729"/>
      <c r="U98" s="731"/>
      <c r="V98" s="755"/>
      <c r="W98" s="731"/>
      <c r="X98" s="729"/>
      <c r="Y98" s="729"/>
      <c r="Z98" s="729"/>
      <c r="AA98" s="729"/>
      <c r="AB98" s="247">
        <f t="shared" si="15"/>
        <v>0</v>
      </c>
      <c r="AC98" s="247">
        <f t="shared" si="12"/>
        <v>0</v>
      </c>
      <c r="AD98" s="763">
        <f>SUM(AC90:AC98)</f>
        <v>1470810810.8108108</v>
      </c>
      <c r="AE98" s="764"/>
      <c r="AF98" s="729"/>
      <c r="AG98" s="729"/>
      <c r="AH98" s="729">
        <v>807617</v>
      </c>
      <c r="AI98" s="753"/>
      <c r="AJ98" s="729"/>
    </row>
    <row r="99" spans="1:36" s="258" customFormat="1" ht="20.100000000000001" customHeight="1">
      <c r="A99" s="718">
        <v>46275</v>
      </c>
      <c r="B99" s="729" t="s">
        <v>1102</v>
      </c>
      <c r="C99" s="729" t="s">
        <v>1103</v>
      </c>
      <c r="D99" s="732" t="s">
        <v>844</v>
      </c>
      <c r="E99" s="729">
        <v>13664581</v>
      </c>
      <c r="F99" s="568" t="s">
        <v>302</v>
      </c>
      <c r="G99" s="729"/>
      <c r="H99" s="729">
        <v>1</v>
      </c>
      <c r="I99" s="729"/>
      <c r="J99" s="729">
        <v>1</v>
      </c>
      <c r="K99" s="721" t="s">
        <v>89</v>
      </c>
      <c r="L99" s="729">
        <v>362344</v>
      </c>
      <c r="M99" s="729" t="s">
        <v>1104</v>
      </c>
      <c r="N99" s="729" t="s">
        <v>1105</v>
      </c>
      <c r="O99" s="730" t="s">
        <v>1000</v>
      </c>
      <c r="P99" s="729">
        <v>1</v>
      </c>
      <c r="Q99" s="731">
        <v>76100000</v>
      </c>
      <c r="R99" s="855">
        <f t="shared" si="14"/>
        <v>0</v>
      </c>
      <c r="S99" s="731">
        <f>Q99</f>
        <v>76100000</v>
      </c>
      <c r="T99" s="729"/>
      <c r="U99" s="731"/>
      <c r="V99" s="755">
        <f>S99</f>
        <v>76100000</v>
      </c>
      <c r="W99" s="731"/>
      <c r="X99" s="729"/>
      <c r="Y99" s="729" t="s">
        <v>806</v>
      </c>
      <c r="Z99" s="729"/>
      <c r="AA99" s="729"/>
      <c r="AB99" s="247">
        <f>W99*1.4%</f>
        <v>0</v>
      </c>
      <c r="AC99" s="247">
        <f t="shared" si="12"/>
        <v>68558558.558558553</v>
      </c>
      <c r="AD99" s="763"/>
      <c r="AE99" s="764" t="s">
        <v>767</v>
      </c>
      <c r="AF99" s="729" t="s">
        <v>767</v>
      </c>
      <c r="AG99" s="729" t="s">
        <v>767</v>
      </c>
      <c r="AH99" s="729">
        <v>807569</v>
      </c>
      <c r="AI99" s="753">
        <v>806422</v>
      </c>
      <c r="AJ99" s="754"/>
    </row>
    <row r="100" spans="1:36" s="258" customFormat="1" ht="20.100000000000001" customHeight="1">
      <c r="A100" s="751"/>
      <c r="B100" s="729"/>
      <c r="C100" s="729"/>
      <c r="D100" s="732"/>
      <c r="E100" s="729"/>
      <c r="F100" s="729"/>
      <c r="G100" s="729"/>
      <c r="H100" s="729"/>
      <c r="I100" s="729"/>
      <c r="J100" s="729"/>
      <c r="K100" s="729"/>
      <c r="L100" s="729"/>
      <c r="M100" s="729"/>
      <c r="N100" s="729"/>
      <c r="O100" s="730"/>
      <c r="P100" s="729"/>
      <c r="Q100" s="731"/>
      <c r="R100" s="855" t="e">
        <f t="shared" si="14"/>
        <v>#DIV/0!</v>
      </c>
      <c r="S100" s="731"/>
      <c r="T100" s="729"/>
      <c r="U100" s="731"/>
      <c r="V100" s="755"/>
      <c r="W100" s="731"/>
      <c r="X100" s="729"/>
      <c r="Y100" s="729"/>
      <c r="Z100" s="729"/>
      <c r="AA100" s="729"/>
      <c r="AB100" s="247">
        <f>W100*1.4%</f>
        <v>0</v>
      </c>
      <c r="AC100" s="247">
        <f t="shared" si="12"/>
        <v>0</v>
      </c>
      <c r="AD100" s="763"/>
      <c r="AE100" s="764"/>
      <c r="AF100" s="729"/>
      <c r="AG100" s="729"/>
      <c r="AH100" s="729">
        <v>807617</v>
      </c>
      <c r="AI100" s="753"/>
      <c r="AJ100" s="752"/>
    </row>
    <row r="101" spans="1:36" s="258" customFormat="1" ht="20.100000000000001" customHeight="1">
      <c r="A101" s="745"/>
      <c r="B101" s="746"/>
      <c r="C101" s="746"/>
      <c r="D101" s="747"/>
      <c r="E101" s="746"/>
      <c r="F101" s="746"/>
      <c r="G101" s="746"/>
      <c r="H101" s="746"/>
      <c r="I101" s="746"/>
      <c r="J101" s="746"/>
      <c r="K101" s="746"/>
      <c r="L101" s="746"/>
      <c r="M101" s="746"/>
      <c r="N101" s="746"/>
      <c r="O101" s="749"/>
      <c r="P101" s="746"/>
      <c r="Q101" s="750"/>
      <c r="R101" s="855" t="e">
        <f t="shared" si="14"/>
        <v>#DIV/0!</v>
      </c>
      <c r="S101" s="750"/>
      <c r="T101" s="746"/>
      <c r="U101" s="750"/>
      <c r="V101" s="758"/>
      <c r="W101" s="750"/>
      <c r="X101" s="746"/>
      <c r="Y101" s="746"/>
      <c r="Z101" s="746"/>
      <c r="AA101" s="746"/>
      <c r="AB101" s="247">
        <f>W101*1.4%</f>
        <v>0</v>
      </c>
      <c r="AC101" s="247">
        <f t="shared" si="12"/>
        <v>0</v>
      </c>
      <c r="AD101" s="770"/>
      <c r="AE101" s="771"/>
      <c r="AF101" s="746"/>
      <c r="AG101" s="746"/>
      <c r="AH101" s="746">
        <v>806856</v>
      </c>
      <c r="AI101" s="772"/>
      <c r="AJ101" s="793"/>
    </row>
    <row r="102" spans="1:36" s="258" customFormat="1" ht="20.100000000000001" customHeight="1">
      <c r="A102" s="751"/>
      <c r="B102" s="729" t="s">
        <v>1106</v>
      </c>
      <c r="C102" s="729" t="s">
        <v>1107</v>
      </c>
      <c r="D102" s="732" t="s">
        <v>1108</v>
      </c>
      <c r="E102" s="729">
        <v>13676280</v>
      </c>
      <c r="F102" s="568" t="s">
        <v>302</v>
      </c>
      <c r="G102" s="729">
        <v>1</v>
      </c>
      <c r="H102" s="729"/>
      <c r="I102" s="729">
        <v>1</v>
      </c>
      <c r="J102" s="729"/>
      <c r="K102" s="721" t="s">
        <v>89</v>
      </c>
      <c r="L102" s="729">
        <v>347056</v>
      </c>
      <c r="M102" s="729" t="s">
        <v>1109</v>
      </c>
      <c r="N102" s="729" t="s">
        <v>1110</v>
      </c>
      <c r="O102" s="730" t="s">
        <v>1111</v>
      </c>
      <c r="P102" s="729">
        <v>1</v>
      </c>
      <c r="Q102" s="731">
        <v>42400000</v>
      </c>
      <c r="R102" s="855">
        <f t="shared" si="14"/>
        <v>0</v>
      </c>
      <c r="S102" s="731">
        <f>Q102</f>
        <v>42400000</v>
      </c>
      <c r="T102" s="729"/>
      <c r="U102" s="731"/>
      <c r="V102" s="755">
        <f>S102</f>
        <v>42400000</v>
      </c>
      <c r="W102" s="731"/>
      <c r="X102" s="729"/>
      <c r="Y102" s="729" t="s">
        <v>806</v>
      </c>
      <c r="Z102" s="729"/>
      <c r="AA102" s="729"/>
      <c r="AB102" s="247">
        <f t="shared" si="15"/>
        <v>0</v>
      </c>
      <c r="AC102" s="247">
        <f t="shared" si="12"/>
        <v>38198198.198198192</v>
      </c>
      <c r="AD102" s="763"/>
      <c r="AE102" s="764" t="s">
        <v>769</v>
      </c>
      <c r="AF102" s="729" t="s">
        <v>769</v>
      </c>
      <c r="AG102" s="729" t="s">
        <v>769</v>
      </c>
      <c r="AH102" s="729">
        <v>806855</v>
      </c>
      <c r="AI102" s="753">
        <v>806422</v>
      </c>
      <c r="AJ102" s="834"/>
    </row>
    <row r="103" spans="1:36" s="258" customFormat="1" ht="20.100000000000001" customHeight="1">
      <c r="A103" s="751"/>
      <c r="B103" s="729"/>
      <c r="C103" s="729"/>
      <c r="D103" s="732"/>
      <c r="E103" s="729"/>
      <c r="F103" s="729"/>
      <c r="G103" s="729"/>
      <c r="H103" s="729"/>
      <c r="I103" s="729"/>
      <c r="J103" s="729"/>
      <c r="K103" s="729"/>
      <c r="L103" s="729"/>
      <c r="M103" s="729"/>
      <c r="N103" s="729"/>
      <c r="O103" s="730"/>
      <c r="P103" s="729"/>
      <c r="Q103" s="731"/>
      <c r="R103" s="855" t="e">
        <f t="shared" si="14"/>
        <v>#DIV/0!</v>
      </c>
      <c r="S103" s="731"/>
      <c r="T103" s="729"/>
      <c r="U103" s="731"/>
      <c r="V103" s="755"/>
      <c r="W103" s="731"/>
      <c r="X103" s="729"/>
      <c r="Y103" s="729"/>
      <c r="Z103" s="729"/>
      <c r="AA103" s="729"/>
      <c r="AB103" s="247">
        <f t="shared" si="15"/>
        <v>0</v>
      </c>
      <c r="AC103" s="247">
        <f t="shared" si="12"/>
        <v>0</v>
      </c>
      <c r="AD103" s="763"/>
      <c r="AE103" s="764"/>
      <c r="AF103" s="729"/>
      <c r="AG103" s="729"/>
      <c r="AH103" s="729">
        <v>807617</v>
      </c>
      <c r="AI103" s="753"/>
      <c r="AJ103" s="754"/>
    </row>
    <row r="104" spans="1:36" s="258" customFormat="1" ht="20.100000000000001" customHeight="1">
      <c r="A104" s="751"/>
      <c r="B104" s="729"/>
      <c r="C104" s="729"/>
      <c r="D104" s="732"/>
      <c r="E104" s="729"/>
      <c r="F104" s="729"/>
      <c r="G104" s="729"/>
      <c r="H104" s="729"/>
      <c r="I104" s="729"/>
      <c r="J104" s="729"/>
      <c r="K104" s="729"/>
      <c r="L104" s="729"/>
      <c r="M104" s="729"/>
      <c r="N104" s="729"/>
      <c r="O104" s="730"/>
      <c r="P104" s="729"/>
      <c r="Q104" s="731"/>
      <c r="R104" s="855" t="e">
        <f t="shared" si="14"/>
        <v>#DIV/0!</v>
      </c>
      <c r="S104" s="731"/>
      <c r="T104" s="729"/>
      <c r="U104" s="731"/>
      <c r="V104" s="755"/>
      <c r="W104" s="731"/>
      <c r="X104" s="729"/>
      <c r="Y104" s="729"/>
      <c r="Z104" s="729"/>
      <c r="AA104" s="729"/>
      <c r="AB104" s="247">
        <f t="shared" si="15"/>
        <v>0</v>
      </c>
      <c r="AC104" s="247">
        <f t="shared" ref="AC104:AC135" si="16">(S104/1.11)</f>
        <v>0</v>
      </c>
      <c r="AD104" s="763"/>
      <c r="AE104" s="764"/>
      <c r="AF104" s="729"/>
      <c r="AG104" s="729"/>
      <c r="AH104" s="729">
        <v>808138</v>
      </c>
      <c r="AI104" s="753"/>
      <c r="AJ104" s="752"/>
    </row>
    <row r="105" spans="1:36" s="258" customFormat="1" ht="20.100000000000001" customHeight="1">
      <c r="A105" s="751"/>
      <c r="B105" s="729" t="s">
        <v>1119</v>
      </c>
      <c r="C105" s="729" t="s">
        <v>1112</v>
      </c>
      <c r="D105" s="732" t="s">
        <v>1002</v>
      </c>
      <c r="E105" s="729">
        <v>13669946</v>
      </c>
      <c r="F105" s="568" t="s">
        <v>302</v>
      </c>
      <c r="G105" s="729">
        <v>1</v>
      </c>
      <c r="H105" s="729"/>
      <c r="I105" s="729"/>
      <c r="J105" s="729">
        <v>1</v>
      </c>
      <c r="K105" s="721" t="s">
        <v>89</v>
      </c>
      <c r="L105" s="729">
        <v>349707</v>
      </c>
      <c r="M105" s="729" t="s">
        <v>1113</v>
      </c>
      <c r="N105" s="729" t="s">
        <v>1115</v>
      </c>
      <c r="O105" s="730" t="s">
        <v>1117</v>
      </c>
      <c r="P105" s="729">
        <v>1</v>
      </c>
      <c r="Q105" s="731">
        <v>183800000</v>
      </c>
      <c r="R105" s="855">
        <f t="shared" si="14"/>
        <v>0</v>
      </c>
      <c r="S105" s="731">
        <f>Q105</f>
        <v>183800000</v>
      </c>
      <c r="T105" s="729"/>
      <c r="U105" s="731" t="s">
        <v>1006</v>
      </c>
      <c r="V105" s="755"/>
      <c r="W105" s="731"/>
      <c r="X105" s="729"/>
      <c r="Y105" s="729"/>
      <c r="Z105" s="729"/>
      <c r="AA105" s="729"/>
      <c r="AB105" s="247">
        <f>W105*1.4%</f>
        <v>0</v>
      </c>
      <c r="AC105" s="247">
        <f t="shared" si="16"/>
        <v>165585585.58558556</v>
      </c>
      <c r="AD105" s="763"/>
      <c r="AE105" s="764" t="s">
        <v>781</v>
      </c>
      <c r="AF105" s="764" t="s">
        <v>781</v>
      </c>
      <c r="AG105" s="764" t="s">
        <v>781</v>
      </c>
      <c r="AH105" s="729">
        <v>806856</v>
      </c>
      <c r="AI105" s="753">
        <v>806422</v>
      </c>
      <c r="AJ105" s="729"/>
    </row>
    <row r="106" spans="1:36" s="258" customFormat="1" ht="20.100000000000001" customHeight="1">
      <c r="A106" s="718"/>
      <c r="B106" s="729"/>
      <c r="C106" s="729"/>
      <c r="D106" s="732"/>
      <c r="E106" s="729"/>
      <c r="F106" s="729"/>
      <c r="G106" s="729"/>
      <c r="H106" s="729"/>
      <c r="I106" s="729"/>
      <c r="J106" s="729"/>
      <c r="K106" s="721" t="s">
        <v>89</v>
      </c>
      <c r="L106" s="729">
        <v>336003</v>
      </c>
      <c r="M106" s="729" t="s">
        <v>1114</v>
      </c>
      <c r="N106" s="729" t="s">
        <v>1116</v>
      </c>
      <c r="O106" s="730" t="s">
        <v>1118</v>
      </c>
      <c r="P106" s="729">
        <v>1</v>
      </c>
      <c r="Q106" s="731">
        <v>40100000</v>
      </c>
      <c r="R106" s="855">
        <f t="shared" si="14"/>
        <v>0</v>
      </c>
      <c r="S106" s="731">
        <f>Q106</f>
        <v>40100000</v>
      </c>
      <c r="T106" s="729"/>
      <c r="U106" s="729"/>
      <c r="V106" s="755"/>
      <c r="W106" s="731"/>
      <c r="X106" s="729"/>
      <c r="Y106" s="729"/>
      <c r="Z106" s="729"/>
      <c r="AA106" s="729"/>
      <c r="AB106" s="247">
        <f t="shared" si="15"/>
        <v>0</v>
      </c>
      <c r="AC106" s="247">
        <f t="shared" si="16"/>
        <v>36126126.126126125</v>
      </c>
      <c r="AD106" s="763"/>
      <c r="AE106" s="764"/>
      <c r="AF106" s="729"/>
      <c r="AG106" s="729"/>
      <c r="AH106" s="729">
        <v>807563</v>
      </c>
      <c r="AI106" s="753">
        <v>806422</v>
      </c>
      <c r="AJ106" s="729"/>
    </row>
    <row r="107" spans="1:36" s="258" customFormat="1" ht="20.100000000000001" customHeight="1">
      <c r="A107" s="751"/>
      <c r="B107" s="729"/>
      <c r="C107" s="729"/>
      <c r="D107" s="732"/>
      <c r="E107" s="729"/>
      <c r="F107" s="721"/>
      <c r="G107" s="729"/>
      <c r="H107" s="729"/>
      <c r="I107" s="729"/>
      <c r="J107" s="729"/>
      <c r="K107" s="737"/>
      <c r="L107" s="729"/>
      <c r="M107" s="729"/>
      <c r="N107" s="729"/>
      <c r="O107" s="730"/>
      <c r="P107" s="729"/>
      <c r="Q107" s="731"/>
      <c r="R107" s="855" t="e">
        <f t="shared" ref="R107:R138" si="17">(Q107-S107)/Q107*100</f>
        <v>#DIV/0!</v>
      </c>
      <c r="S107" s="731"/>
      <c r="T107" s="729"/>
      <c r="U107" s="729"/>
      <c r="V107" s="755"/>
      <c r="W107" s="731"/>
      <c r="X107" s="729"/>
      <c r="Y107" s="729"/>
      <c r="Z107" s="729"/>
      <c r="AA107" s="729"/>
      <c r="AB107" s="247">
        <f>W107*1.3%</f>
        <v>0</v>
      </c>
      <c r="AC107" s="247">
        <f t="shared" si="16"/>
        <v>0</v>
      </c>
      <c r="AD107" s="763"/>
      <c r="AE107" s="764"/>
      <c r="AF107" s="729"/>
      <c r="AG107" s="729"/>
      <c r="AH107" s="729">
        <v>807617</v>
      </c>
      <c r="AI107" s="753"/>
      <c r="AJ107" s="754"/>
    </row>
    <row r="108" spans="1:36" s="258" customFormat="1" ht="20.100000000000001" customHeight="1">
      <c r="A108" s="751"/>
      <c r="B108" s="729" t="s">
        <v>1128</v>
      </c>
      <c r="C108" s="729" t="s">
        <v>1129</v>
      </c>
      <c r="D108" s="732" t="s">
        <v>1130</v>
      </c>
      <c r="E108" s="729">
        <v>13676286</v>
      </c>
      <c r="F108" s="568" t="s">
        <v>302</v>
      </c>
      <c r="G108" s="729">
        <v>1</v>
      </c>
      <c r="H108" s="729"/>
      <c r="I108" s="729"/>
      <c r="J108" s="729">
        <v>1</v>
      </c>
      <c r="K108" s="721" t="s">
        <v>89</v>
      </c>
      <c r="L108" s="729">
        <v>360457</v>
      </c>
      <c r="M108" s="729" t="s">
        <v>1131</v>
      </c>
      <c r="N108" s="729" t="s">
        <v>1132</v>
      </c>
      <c r="O108" s="730" t="s">
        <v>1133</v>
      </c>
      <c r="P108" s="729">
        <v>1</v>
      </c>
      <c r="Q108" s="731">
        <v>85800000</v>
      </c>
      <c r="R108" s="855">
        <f t="shared" si="17"/>
        <v>0</v>
      </c>
      <c r="S108" s="731">
        <f>Q108</f>
        <v>85800000</v>
      </c>
      <c r="T108" s="729"/>
      <c r="U108" s="729"/>
      <c r="V108" s="755"/>
      <c r="W108" s="731">
        <f>S108</f>
        <v>85800000</v>
      </c>
      <c r="X108" s="729"/>
      <c r="Y108" s="729"/>
      <c r="Z108" s="729" t="s">
        <v>1134</v>
      </c>
      <c r="AA108" s="729" t="s">
        <v>1135</v>
      </c>
      <c r="AB108" s="247">
        <f>W108*1.75%</f>
        <v>1501500.0000000002</v>
      </c>
      <c r="AC108" s="247">
        <f t="shared" si="16"/>
        <v>77297297.297297284</v>
      </c>
      <c r="AD108" s="763"/>
      <c r="AE108" s="764" t="s">
        <v>768</v>
      </c>
      <c r="AF108" s="729" t="s">
        <v>768</v>
      </c>
      <c r="AG108" s="729" t="s">
        <v>768</v>
      </c>
      <c r="AH108" s="729">
        <v>807566</v>
      </c>
      <c r="AI108" s="753">
        <v>806422</v>
      </c>
      <c r="AJ108" s="754" t="s">
        <v>1127</v>
      </c>
    </row>
    <row r="109" spans="1:36" s="258" customFormat="1" ht="20.100000000000001" customHeight="1">
      <c r="A109" s="751"/>
      <c r="B109" s="729"/>
      <c r="C109" s="729"/>
      <c r="D109" s="732"/>
      <c r="E109" s="729"/>
      <c r="F109" s="729"/>
      <c r="G109" s="729"/>
      <c r="H109" s="729"/>
      <c r="I109" s="729"/>
      <c r="J109" s="729"/>
      <c r="K109" s="721"/>
      <c r="L109" s="729"/>
      <c r="M109" s="729"/>
      <c r="N109" s="729"/>
      <c r="O109" s="730"/>
      <c r="P109" s="729"/>
      <c r="Q109" s="731"/>
      <c r="R109" s="855" t="e">
        <f t="shared" si="17"/>
        <v>#DIV/0!</v>
      </c>
      <c r="S109" s="731"/>
      <c r="T109" s="729"/>
      <c r="U109" s="729"/>
      <c r="V109" s="755"/>
      <c r="W109" s="731"/>
      <c r="X109" s="729"/>
      <c r="Y109" s="729"/>
      <c r="Z109" s="729"/>
      <c r="AA109" s="729"/>
      <c r="AB109" s="247">
        <f>W109*7%</f>
        <v>0</v>
      </c>
      <c r="AC109" s="247">
        <f t="shared" si="16"/>
        <v>0</v>
      </c>
      <c r="AD109" s="763"/>
      <c r="AE109" s="764"/>
      <c r="AF109" s="729"/>
      <c r="AG109" s="729"/>
      <c r="AH109" s="729">
        <v>806856</v>
      </c>
      <c r="AI109" s="753"/>
      <c r="AJ109" s="729"/>
    </row>
    <row r="110" spans="1:36" s="258" customFormat="1" ht="20.100000000000001" customHeight="1">
      <c r="A110" s="751"/>
      <c r="B110" s="729"/>
      <c r="C110" s="729"/>
      <c r="D110" s="732"/>
      <c r="E110" s="729"/>
      <c r="F110" s="721"/>
      <c r="G110" s="729"/>
      <c r="H110" s="729"/>
      <c r="I110" s="729"/>
      <c r="J110" s="729"/>
      <c r="K110" s="737"/>
      <c r="L110" s="729"/>
      <c r="M110" s="729"/>
      <c r="N110" s="729"/>
      <c r="O110" s="730"/>
      <c r="P110" s="729"/>
      <c r="Q110" s="731"/>
      <c r="R110" s="855" t="e">
        <f t="shared" si="17"/>
        <v>#DIV/0!</v>
      </c>
      <c r="S110" s="731"/>
      <c r="T110" s="729"/>
      <c r="U110" s="731"/>
      <c r="V110" s="755"/>
      <c r="W110" s="731"/>
      <c r="X110" s="729"/>
      <c r="Y110" s="729"/>
      <c r="Z110" s="729"/>
      <c r="AA110" s="729"/>
      <c r="AB110" s="247">
        <f>W110*1.3%</f>
        <v>0</v>
      </c>
      <c r="AC110" s="247">
        <f t="shared" si="16"/>
        <v>0</v>
      </c>
      <c r="AD110" s="763">
        <f>SUM(AC99:AC110)</f>
        <v>385765765.76576573</v>
      </c>
      <c r="AE110" s="764"/>
      <c r="AF110" s="729"/>
      <c r="AG110" s="729"/>
      <c r="AH110" s="729">
        <v>807617</v>
      </c>
      <c r="AI110" s="753"/>
      <c r="AJ110" s="754"/>
    </row>
    <row r="111" spans="1:36" s="258" customFormat="1" ht="20.100000000000001" customHeight="1">
      <c r="A111" s="718">
        <v>46276</v>
      </c>
      <c r="B111" s="729" t="s">
        <v>1145</v>
      </c>
      <c r="C111" s="729" t="s">
        <v>1136</v>
      </c>
      <c r="D111" s="732" t="s">
        <v>1137</v>
      </c>
      <c r="E111" s="729">
        <v>13458866</v>
      </c>
      <c r="F111" s="568" t="s">
        <v>302</v>
      </c>
      <c r="G111" s="729">
        <v>1</v>
      </c>
      <c r="H111" s="729"/>
      <c r="I111" s="729">
        <v>1</v>
      </c>
      <c r="J111" s="729"/>
      <c r="K111" s="894" t="s">
        <v>92</v>
      </c>
      <c r="L111" s="729">
        <v>104032</v>
      </c>
      <c r="M111" s="729" t="s">
        <v>1138</v>
      </c>
      <c r="N111" s="729" t="s">
        <v>1139</v>
      </c>
      <c r="O111" s="730" t="s">
        <v>1140</v>
      </c>
      <c r="P111" s="729">
        <v>1</v>
      </c>
      <c r="Q111" s="731">
        <v>77000000</v>
      </c>
      <c r="R111" s="238">
        <f t="shared" si="17"/>
        <v>0</v>
      </c>
      <c r="S111" s="731">
        <f>Q111</f>
        <v>77000000</v>
      </c>
      <c r="T111" s="729"/>
      <c r="U111" s="731"/>
      <c r="V111" s="755"/>
      <c r="W111" s="731">
        <f>S111</f>
        <v>77000000</v>
      </c>
      <c r="X111" s="729"/>
      <c r="Y111" s="729"/>
      <c r="Z111" s="729" t="s">
        <v>917</v>
      </c>
      <c r="AA111" s="729" t="s">
        <v>933</v>
      </c>
      <c r="AB111" s="247">
        <f>W111*0.15%</f>
        <v>115500</v>
      </c>
      <c r="AC111" s="247">
        <f t="shared" si="16"/>
        <v>69369369.369369358</v>
      </c>
      <c r="AD111" s="893"/>
      <c r="AE111" s="764" t="s">
        <v>786</v>
      </c>
      <c r="AF111" s="729" t="s">
        <v>786</v>
      </c>
      <c r="AG111" s="729" t="s">
        <v>786</v>
      </c>
      <c r="AH111" s="729">
        <v>806857</v>
      </c>
      <c r="AI111" s="753">
        <v>806422</v>
      </c>
      <c r="AJ111" s="754"/>
    </row>
    <row r="112" spans="1:36" s="258" customFormat="1" ht="20.100000000000001" customHeight="1">
      <c r="A112" s="751"/>
      <c r="B112" s="729"/>
      <c r="C112" s="729"/>
      <c r="D112" s="732"/>
      <c r="E112" s="729"/>
      <c r="F112" s="729"/>
      <c r="G112" s="729"/>
      <c r="H112" s="729"/>
      <c r="I112" s="729"/>
      <c r="J112" s="729"/>
      <c r="K112" s="721"/>
      <c r="L112" s="729"/>
      <c r="M112" s="729"/>
      <c r="N112" s="729"/>
      <c r="O112" s="730"/>
      <c r="P112" s="729"/>
      <c r="Q112" s="731"/>
      <c r="R112" s="855" t="e">
        <f t="shared" si="17"/>
        <v>#DIV/0!</v>
      </c>
      <c r="S112" s="731"/>
      <c r="T112" s="729"/>
      <c r="U112" s="731"/>
      <c r="V112" s="755"/>
      <c r="W112" s="731"/>
      <c r="X112" s="729"/>
      <c r="Y112" s="729"/>
      <c r="Z112" s="729"/>
      <c r="AA112" s="729"/>
      <c r="AB112" s="247">
        <f>W112*5%</f>
        <v>0</v>
      </c>
      <c r="AC112" s="247">
        <f t="shared" si="16"/>
        <v>0</v>
      </c>
      <c r="AD112" s="763"/>
      <c r="AE112" s="764"/>
      <c r="AF112" s="729"/>
      <c r="AG112" s="729"/>
      <c r="AH112" s="729">
        <v>807572</v>
      </c>
      <c r="AI112" s="753"/>
      <c r="AJ112" s="754"/>
    </row>
    <row r="113" spans="1:36" s="258" customFormat="1" ht="20.100000000000001" customHeight="1">
      <c r="A113" s="751"/>
      <c r="B113" s="729"/>
      <c r="C113" s="729"/>
      <c r="D113" s="732"/>
      <c r="E113" s="729"/>
      <c r="F113" s="729"/>
      <c r="G113" s="729"/>
      <c r="H113" s="729"/>
      <c r="I113" s="729"/>
      <c r="J113" s="729"/>
      <c r="K113" s="737"/>
      <c r="L113" s="729"/>
      <c r="M113" s="729"/>
      <c r="N113" s="729"/>
      <c r="O113" s="730"/>
      <c r="P113" s="729"/>
      <c r="Q113" s="731"/>
      <c r="R113" s="855" t="e">
        <f t="shared" si="17"/>
        <v>#DIV/0!</v>
      </c>
      <c r="S113" s="731"/>
      <c r="T113" s="729"/>
      <c r="U113" s="731"/>
      <c r="V113" s="755"/>
      <c r="W113" s="731"/>
      <c r="X113" s="729"/>
      <c r="Y113" s="729"/>
      <c r="Z113" s="729"/>
      <c r="AA113" s="729"/>
      <c r="AB113" s="247">
        <f>W113*2.2%</f>
        <v>0</v>
      </c>
      <c r="AC113" s="247">
        <f t="shared" si="16"/>
        <v>0</v>
      </c>
      <c r="AD113" s="763"/>
      <c r="AE113" s="764"/>
      <c r="AF113" s="729"/>
      <c r="AG113" s="729"/>
      <c r="AH113" s="729">
        <v>807617</v>
      </c>
      <c r="AI113" s="753"/>
      <c r="AJ113" s="754"/>
    </row>
    <row r="114" spans="1:36" s="258" customFormat="1" ht="20.100000000000001" customHeight="1">
      <c r="A114" s="751"/>
      <c r="B114" s="729"/>
      <c r="C114" s="729"/>
      <c r="D114" s="732"/>
      <c r="E114" s="729"/>
      <c r="F114" s="729"/>
      <c r="G114" s="729"/>
      <c r="H114" s="729"/>
      <c r="I114" s="729"/>
      <c r="J114" s="729"/>
      <c r="K114" s="729"/>
      <c r="L114" s="729"/>
      <c r="M114" s="729"/>
      <c r="N114" s="729"/>
      <c r="O114" s="730"/>
      <c r="P114" s="729"/>
      <c r="Q114" s="731"/>
      <c r="R114" s="855" t="e">
        <f t="shared" si="17"/>
        <v>#DIV/0!</v>
      </c>
      <c r="S114" s="731"/>
      <c r="T114" s="729"/>
      <c r="U114" s="731"/>
      <c r="V114" s="755"/>
      <c r="W114" s="731"/>
      <c r="X114" s="729"/>
      <c r="Y114" s="729"/>
      <c r="Z114" s="729"/>
      <c r="AA114" s="729"/>
      <c r="AB114" s="247">
        <f t="shared" si="15"/>
        <v>0</v>
      </c>
      <c r="AC114" s="247">
        <f t="shared" si="16"/>
        <v>0</v>
      </c>
      <c r="AD114" s="763"/>
      <c r="AE114" s="764"/>
      <c r="AF114" s="729"/>
      <c r="AG114" s="729"/>
      <c r="AH114" s="729">
        <v>807853</v>
      </c>
      <c r="AI114" s="753"/>
      <c r="AJ114" s="728"/>
    </row>
    <row r="115" spans="1:36" s="258" customFormat="1" ht="20.100000000000001" customHeight="1">
      <c r="A115" s="718"/>
      <c r="B115" s="729" t="s">
        <v>1146</v>
      </c>
      <c r="C115" s="729" t="s">
        <v>1141</v>
      </c>
      <c r="D115" s="732" t="s">
        <v>1142</v>
      </c>
      <c r="E115" s="729">
        <v>13677406</v>
      </c>
      <c r="F115" s="568" t="s">
        <v>302</v>
      </c>
      <c r="G115" s="729">
        <v>1</v>
      </c>
      <c r="H115" s="729"/>
      <c r="I115" s="729">
        <v>1</v>
      </c>
      <c r="J115" s="729"/>
      <c r="K115" s="721" t="s">
        <v>89</v>
      </c>
      <c r="L115" s="729">
        <v>361780</v>
      </c>
      <c r="M115" s="729" t="s">
        <v>848</v>
      </c>
      <c r="N115" s="729" t="s">
        <v>1143</v>
      </c>
      <c r="O115" s="730" t="s">
        <v>855</v>
      </c>
      <c r="P115" s="729">
        <v>1</v>
      </c>
      <c r="Q115" s="731">
        <v>106000000</v>
      </c>
      <c r="R115" s="855">
        <f t="shared" si="17"/>
        <v>0</v>
      </c>
      <c r="S115" s="731">
        <f>Q115</f>
        <v>106000000</v>
      </c>
      <c r="T115" s="729"/>
      <c r="U115" s="731"/>
      <c r="V115" s="755">
        <f>S115</f>
        <v>106000000</v>
      </c>
      <c r="W115" s="731"/>
      <c r="X115" s="729"/>
      <c r="Y115" s="729" t="s">
        <v>806</v>
      </c>
      <c r="Z115" s="729"/>
      <c r="AA115" s="729"/>
      <c r="AB115" s="247">
        <f>W115*0.15%</f>
        <v>0</v>
      </c>
      <c r="AC115" s="247">
        <f t="shared" si="16"/>
        <v>95495495.495495483</v>
      </c>
      <c r="AD115" s="763"/>
      <c r="AE115" s="764" t="s">
        <v>775</v>
      </c>
      <c r="AF115" s="729" t="s">
        <v>775</v>
      </c>
      <c r="AG115" s="729" t="s">
        <v>775</v>
      </c>
      <c r="AH115" s="729">
        <v>806856</v>
      </c>
      <c r="AI115" s="753">
        <v>806422</v>
      </c>
      <c r="AJ115" s="754" t="s">
        <v>863</v>
      </c>
    </row>
    <row r="116" spans="1:36" s="258" customFormat="1" ht="20.100000000000001" customHeight="1">
      <c r="A116" s="751"/>
      <c r="B116" s="729"/>
      <c r="C116" s="729"/>
      <c r="D116" s="732"/>
      <c r="E116" s="729"/>
      <c r="F116" s="721"/>
      <c r="G116" s="729"/>
      <c r="H116" s="729"/>
      <c r="I116" s="729"/>
      <c r="J116" s="729"/>
      <c r="K116" s="737"/>
      <c r="L116" s="729"/>
      <c r="M116" s="729"/>
      <c r="N116" s="729"/>
      <c r="O116" s="730"/>
      <c r="P116" s="729"/>
      <c r="Q116" s="731"/>
      <c r="R116" s="855" t="e">
        <f t="shared" si="17"/>
        <v>#DIV/0!</v>
      </c>
      <c r="S116" s="731"/>
      <c r="T116" s="729"/>
      <c r="U116" s="731"/>
      <c r="V116" s="755"/>
      <c r="W116" s="731"/>
      <c r="X116" s="729"/>
      <c r="Y116" s="729"/>
      <c r="Z116" s="729"/>
      <c r="AA116" s="729"/>
      <c r="AB116" s="247">
        <f>W116*1.3%</f>
        <v>0</v>
      </c>
      <c r="AC116" s="247">
        <f t="shared" si="16"/>
        <v>0</v>
      </c>
      <c r="AD116" s="763"/>
      <c r="AE116" s="764"/>
      <c r="AF116" s="729"/>
      <c r="AG116" s="729"/>
      <c r="AH116" s="729">
        <v>807617</v>
      </c>
      <c r="AI116" s="753"/>
      <c r="AJ116" s="754" t="s">
        <v>1144</v>
      </c>
    </row>
    <row r="117" spans="1:36" s="258" customFormat="1" ht="20.100000000000001" customHeight="1">
      <c r="A117" s="751"/>
      <c r="B117" s="729"/>
      <c r="C117" s="729"/>
      <c r="D117" s="732"/>
      <c r="E117" s="729"/>
      <c r="F117" s="729"/>
      <c r="G117" s="729"/>
      <c r="H117" s="729"/>
      <c r="I117" s="729"/>
      <c r="J117" s="729"/>
      <c r="K117" s="729"/>
      <c r="L117" s="729"/>
      <c r="M117" s="729"/>
      <c r="N117" s="729"/>
      <c r="O117" s="730"/>
      <c r="P117" s="729"/>
      <c r="Q117" s="731"/>
      <c r="R117" s="855" t="e">
        <f t="shared" si="17"/>
        <v>#DIV/0!</v>
      </c>
      <c r="S117" s="731"/>
      <c r="T117" s="729"/>
      <c r="U117" s="731"/>
      <c r="V117" s="755"/>
      <c r="W117" s="731"/>
      <c r="X117" s="729"/>
      <c r="Y117" s="729"/>
      <c r="Z117" s="729"/>
      <c r="AA117" s="729"/>
      <c r="AB117" s="247">
        <f t="shared" si="15"/>
        <v>0</v>
      </c>
      <c r="AC117" s="247">
        <f t="shared" si="16"/>
        <v>0</v>
      </c>
      <c r="AD117" s="763"/>
      <c r="AE117" s="764"/>
      <c r="AF117" s="729"/>
      <c r="AG117" s="729"/>
      <c r="AH117" s="729">
        <v>807570</v>
      </c>
      <c r="AI117" s="753"/>
      <c r="AJ117" s="729"/>
    </row>
    <row r="118" spans="1:36" s="258" customFormat="1" ht="20.100000000000001" customHeight="1">
      <c r="A118" s="751"/>
      <c r="B118" s="752" t="s">
        <v>1147</v>
      </c>
      <c r="C118" s="752" t="s">
        <v>920</v>
      </c>
      <c r="D118" s="732"/>
      <c r="E118" s="729"/>
      <c r="F118" s="729"/>
      <c r="G118" s="729"/>
      <c r="H118" s="729"/>
      <c r="I118" s="729"/>
      <c r="J118" s="729"/>
      <c r="K118" s="721"/>
      <c r="L118" s="729"/>
      <c r="M118" s="729"/>
      <c r="N118" s="729"/>
      <c r="O118" s="730"/>
      <c r="P118" s="729"/>
      <c r="Q118" s="731"/>
      <c r="R118" s="855" t="e">
        <f t="shared" si="17"/>
        <v>#DIV/0!</v>
      </c>
      <c r="S118" s="731"/>
      <c r="T118" s="729"/>
      <c r="U118" s="731"/>
      <c r="V118" s="755"/>
      <c r="W118" s="731"/>
      <c r="X118" s="729"/>
      <c r="Y118" s="729"/>
      <c r="Z118" s="729"/>
      <c r="AA118" s="729"/>
      <c r="AB118" s="247">
        <f t="shared" si="15"/>
        <v>0</v>
      </c>
      <c r="AC118" s="247">
        <f t="shared" si="16"/>
        <v>0</v>
      </c>
      <c r="AD118" s="763"/>
      <c r="AE118" s="764"/>
      <c r="AF118" s="729"/>
      <c r="AG118" s="729"/>
      <c r="AH118" s="729"/>
      <c r="AI118" s="753"/>
      <c r="AJ118" s="754"/>
    </row>
    <row r="119" spans="1:36" s="258" customFormat="1" ht="20.100000000000001" customHeight="1">
      <c r="A119" s="718"/>
      <c r="B119" s="729" t="s">
        <v>1148</v>
      </c>
      <c r="C119" s="729" t="s">
        <v>1150</v>
      </c>
      <c r="D119" s="732" t="s">
        <v>1149</v>
      </c>
      <c r="E119" s="729">
        <v>13108581</v>
      </c>
      <c r="F119" s="568" t="s">
        <v>302</v>
      </c>
      <c r="G119" s="729"/>
      <c r="H119" s="729">
        <v>1</v>
      </c>
      <c r="I119" s="729">
        <v>1</v>
      </c>
      <c r="J119" s="729"/>
      <c r="K119" s="721" t="s">
        <v>89</v>
      </c>
      <c r="L119" s="729">
        <v>362395</v>
      </c>
      <c r="M119" s="729" t="s">
        <v>1151</v>
      </c>
      <c r="N119" s="729" t="s">
        <v>1152</v>
      </c>
      <c r="O119" s="730" t="s">
        <v>1153</v>
      </c>
      <c r="P119" s="729">
        <v>1</v>
      </c>
      <c r="Q119" s="731">
        <v>100300000</v>
      </c>
      <c r="R119" s="855">
        <f t="shared" si="17"/>
        <v>0</v>
      </c>
      <c r="S119" s="731">
        <v>100300000</v>
      </c>
      <c r="T119" s="734"/>
      <c r="U119" s="731"/>
      <c r="V119" s="755"/>
      <c r="W119" s="731">
        <v>100300000</v>
      </c>
      <c r="X119" s="729"/>
      <c r="Y119" s="729"/>
      <c r="Z119" s="729" t="s">
        <v>806</v>
      </c>
      <c r="AA119" s="729" t="s">
        <v>826</v>
      </c>
      <c r="AB119" s="247">
        <f>W119*1.4%</f>
        <v>1404199.9999999998</v>
      </c>
      <c r="AC119" s="247">
        <f t="shared" si="16"/>
        <v>90360360.360360354</v>
      </c>
      <c r="AD119" s="763"/>
      <c r="AE119" s="764" t="s">
        <v>778</v>
      </c>
      <c r="AF119" s="729" t="s">
        <v>778</v>
      </c>
      <c r="AG119" s="729" t="s">
        <v>778</v>
      </c>
      <c r="AH119" s="729">
        <v>807617</v>
      </c>
      <c r="AI119" s="753">
        <v>806422</v>
      </c>
      <c r="AJ119" s="752"/>
    </row>
    <row r="120" spans="1:36" s="258" customFormat="1" ht="20.100000000000001" customHeight="1">
      <c r="A120" s="751"/>
      <c r="B120" s="729"/>
      <c r="C120" s="729"/>
      <c r="D120" s="732"/>
      <c r="E120" s="729"/>
      <c r="F120" s="729"/>
      <c r="G120" s="729"/>
      <c r="H120" s="729"/>
      <c r="I120" s="729"/>
      <c r="J120" s="729"/>
      <c r="K120" s="729"/>
      <c r="L120" s="729"/>
      <c r="M120" s="729"/>
      <c r="N120" s="729"/>
      <c r="O120" s="730"/>
      <c r="P120" s="729"/>
      <c r="Q120" s="731"/>
      <c r="R120" s="855" t="e">
        <f t="shared" si="17"/>
        <v>#DIV/0!</v>
      </c>
      <c r="S120" s="731"/>
      <c r="T120" s="729"/>
      <c r="U120" s="731"/>
      <c r="V120" s="755"/>
      <c r="W120" s="731"/>
      <c r="X120" s="729"/>
      <c r="Y120" s="729"/>
      <c r="Z120" s="729"/>
      <c r="AA120" s="729"/>
      <c r="AB120" s="247">
        <f t="shared" si="15"/>
        <v>0</v>
      </c>
      <c r="AC120" s="247">
        <f t="shared" si="16"/>
        <v>0</v>
      </c>
      <c r="AD120" s="763"/>
      <c r="AE120" s="764"/>
      <c r="AF120" s="729"/>
      <c r="AG120" s="729"/>
      <c r="AH120" s="729">
        <v>806856</v>
      </c>
      <c r="AI120" s="753"/>
      <c r="AJ120" s="760"/>
    </row>
    <row r="121" spans="1:36" s="258" customFormat="1" ht="20.100000000000001" customHeight="1">
      <c r="A121" s="718"/>
      <c r="B121" s="729"/>
      <c r="C121" s="729"/>
      <c r="D121" s="732"/>
      <c r="E121" s="729"/>
      <c r="F121" s="729"/>
      <c r="G121" s="729"/>
      <c r="H121" s="729"/>
      <c r="I121" s="729"/>
      <c r="J121" s="729"/>
      <c r="K121" s="721"/>
      <c r="L121" s="729"/>
      <c r="M121" s="729"/>
      <c r="N121" s="729"/>
      <c r="O121" s="730"/>
      <c r="P121" s="729"/>
      <c r="Q121" s="731"/>
      <c r="R121" s="855" t="e">
        <f t="shared" si="17"/>
        <v>#DIV/0!</v>
      </c>
      <c r="S121" s="731"/>
      <c r="T121" s="729"/>
      <c r="U121" s="731"/>
      <c r="V121" s="731"/>
      <c r="W121" s="731"/>
      <c r="X121" s="729"/>
      <c r="Y121" s="729"/>
      <c r="Z121" s="729"/>
      <c r="AA121" s="729"/>
      <c r="AB121" s="247">
        <f t="shared" si="15"/>
        <v>0</v>
      </c>
      <c r="AC121" s="247">
        <f t="shared" si="16"/>
        <v>0</v>
      </c>
      <c r="AD121" s="763">
        <f>SUM(AC111:AC121)</f>
        <v>255225225.22522518</v>
      </c>
      <c r="AE121" s="764"/>
      <c r="AF121" s="729"/>
      <c r="AG121" s="729"/>
      <c r="AH121" s="729">
        <v>807568</v>
      </c>
      <c r="AI121" s="753"/>
      <c r="AJ121" s="729"/>
    </row>
    <row r="122" spans="1:36" s="258" customFormat="1" ht="20.100000000000001" customHeight="1">
      <c r="A122" s="718">
        <v>46277</v>
      </c>
      <c r="B122" s="729" t="s">
        <v>1179</v>
      </c>
      <c r="C122" s="729" t="s">
        <v>1180</v>
      </c>
      <c r="D122" s="732" t="s">
        <v>1181</v>
      </c>
      <c r="E122" s="729">
        <v>13168499</v>
      </c>
      <c r="F122" s="568" t="s">
        <v>302</v>
      </c>
      <c r="G122" s="729"/>
      <c r="H122" s="729"/>
      <c r="I122" s="729"/>
      <c r="J122" s="729"/>
      <c r="K122" s="729"/>
      <c r="L122" s="729"/>
      <c r="M122" s="754" t="s">
        <v>804</v>
      </c>
      <c r="N122" s="729"/>
      <c r="O122" s="792" t="s">
        <v>1182</v>
      </c>
      <c r="P122" s="729"/>
      <c r="Q122" s="731"/>
      <c r="R122" s="855" t="e">
        <f t="shared" si="17"/>
        <v>#DIV/0!</v>
      </c>
      <c r="S122" s="731"/>
      <c r="T122" s="729"/>
      <c r="U122" s="731"/>
      <c r="V122" s="755"/>
      <c r="W122" s="731">
        <v>50000000</v>
      </c>
      <c r="X122" s="729"/>
      <c r="Y122" s="729"/>
      <c r="Z122" s="729" t="s">
        <v>806</v>
      </c>
      <c r="AA122" s="729" t="s">
        <v>1183</v>
      </c>
      <c r="AB122" s="247">
        <f>W122*1.3%</f>
        <v>650000</v>
      </c>
      <c r="AC122" s="247">
        <f t="shared" si="16"/>
        <v>0</v>
      </c>
      <c r="AD122" s="763"/>
      <c r="AE122" s="764" t="s">
        <v>766</v>
      </c>
      <c r="AF122" s="729" t="s">
        <v>766</v>
      </c>
      <c r="AG122" s="729"/>
      <c r="AH122" s="729">
        <v>807617</v>
      </c>
      <c r="AI122" s="753"/>
      <c r="AJ122" s="752"/>
    </row>
    <row r="123" spans="1:36" s="258" customFormat="1" ht="20.100000000000001" customHeight="1">
      <c r="A123" s="751"/>
      <c r="B123" s="729" t="s">
        <v>1184</v>
      </c>
      <c r="C123" s="729" t="s">
        <v>1185</v>
      </c>
      <c r="D123" s="732" t="s">
        <v>1186</v>
      </c>
      <c r="E123" s="729">
        <v>13679059</v>
      </c>
      <c r="F123" s="568" t="s">
        <v>302</v>
      </c>
      <c r="G123" s="729"/>
      <c r="H123" s="729"/>
      <c r="I123" s="729"/>
      <c r="J123" s="729"/>
      <c r="K123" s="737"/>
      <c r="L123" s="729"/>
      <c r="M123" s="754" t="s">
        <v>804</v>
      </c>
      <c r="N123" s="729"/>
      <c r="O123" s="792" t="s">
        <v>1187</v>
      </c>
      <c r="P123" s="729"/>
      <c r="Q123" s="731"/>
      <c r="R123" s="855" t="e">
        <f t="shared" si="17"/>
        <v>#DIV/0!</v>
      </c>
      <c r="S123" s="731"/>
      <c r="T123" s="729"/>
      <c r="U123" s="731"/>
      <c r="V123" s="755">
        <v>9800000</v>
      </c>
      <c r="W123" s="731"/>
      <c r="X123" s="729"/>
      <c r="Y123" s="729" t="s">
        <v>806</v>
      </c>
      <c r="Z123" s="729"/>
      <c r="AA123" s="729"/>
      <c r="AB123" s="247">
        <f>W123*1.3%</f>
        <v>0</v>
      </c>
      <c r="AC123" s="247">
        <f t="shared" si="16"/>
        <v>0</v>
      </c>
      <c r="AD123" s="763"/>
      <c r="AE123" s="764" t="s">
        <v>781</v>
      </c>
      <c r="AF123" s="729" t="s">
        <v>781</v>
      </c>
      <c r="AG123" s="729"/>
      <c r="AH123" s="729"/>
      <c r="AI123" s="753"/>
      <c r="AJ123" s="754"/>
    </row>
    <row r="124" spans="1:36" s="258" customFormat="1" ht="20.100000000000001" customHeight="1">
      <c r="A124" s="718"/>
      <c r="B124" s="729" t="s">
        <v>1188</v>
      </c>
      <c r="C124" s="729" t="s">
        <v>1189</v>
      </c>
      <c r="D124" s="732" t="s">
        <v>1190</v>
      </c>
      <c r="E124" s="729">
        <v>13679298</v>
      </c>
      <c r="F124" s="568" t="s">
        <v>302</v>
      </c>
      <c r="G124" s="729"/>
      <c r="H124" s="729"/>
      <c r="I124" s="729"/>
      <c r="J124" s="729"/>
      <c r="K124" s="721"/>
      <c r="L124" s="729"/>
      <c r="M124" s="754" t="s">
        <v>804</v>
      </c>
      <c r="N124" s="729"/>
      <c r="O124" s="842" t="s">
        <v>1191</v>
      </c>
      <c r="P124" s="729"/>
      <c r="Q124" s="731"/>
      <c r="R124" s="855" t="e">
        <f t="shared" si="17"/>
        <v>#DIV/0!</v>
      </c>
      <c r="S124" s="731"/>
      <c r="T124" s="729"/>
      <c r="U124" s="731"/>
      <c r="V124" s="755">
        <v>91700000</v>
      </c>
      <c r="W124" s="731"/>
      <c r="X124" s="729"/>
      <c r="Y124" s="729" t="s">
        <v>806</v>
      </c>
      <c r="Z124" s="729"/>
      <c r="AA124" s="729"/>
      <c r="AB124" s="247">
        <f>W124*0.15%</f>
        <v>0</v>
      </c>
      <c r="AC124" s="247">
        <f t="shared" si="16"/>
        <v>0</v>
      </c>
      <c r="AD124" s="763"/>
      <c r="AE124" s="764" t="s">
        <v>775</v>
      </c>
      <c r="AF124" s="729" t="s">
        <v>775</v>
      </c>
      <c r="AG124" s="729"/>
      <c r="AH124" s="729"/>
      <c r="AI124" s="753"/>
      <c r="AJ124" s="729"/>
    </row>
    <row r="125" spans="1:36" s="258" customFormat="1" ht="20.100000000000001" customHeight="1">
      <c r="A125" s="751"/>
      <c r="B125" s="729" t="s">
        <v>1202</v>
      </c>
      <c r="C125" s="729" t="s">
        <v>1203</v>
      </c>
      <c r="D125" s="732" t="s">
        <v>1204</v>
      </c>
      <c r="E125" s="729">
        <v>13680242</v>
      </c>
      <c r="F125" s="568" t="s">
        <v>302</v>
      </c>
      <c r="G125" s="729">
        <v>1</v>
      </c>
      <c r="H125" s="729"/>
      <c r="I125" s="729">
        <v>1</v>
      </c>
      <c r="J125" s="729"/>
      <c r="K125" s="729" t="s">
        <v>89</v>
      </c>
      <c r="L125" s="729">
        <v>347012</v>
      </c>
      <c r="M125" s="729" t="s">
        <v>1205</v>
      </c>
      <c r="N125" s="729" t="s">
        <v>1206</v>
      </c>
      <c r="O125" s="730" t="s">
        <v>1207</v>
      </c>
      <c r="P125" s="729">
        <v>1</v>
      </c>
      <c r="Q125" s="731">
        <v>42400000</v>
      </c>
      <c r="R125" s="855">
        <f t="shared" si="17"/>
        <v>0</v>
      </c>
      <c r="S125" s="731">
        <v>42400000</v>
      </c>
      <c r="T125" s="731"/>
      <c r="U125" s="731"/>
      <c r="V125" s="755"/>
      <c r="W125" s="731">
        <v>42400000</v>
      </c>
      <c r="X125" s="729"/>
      <c r="Y125" s="729"/>
      <c r="Z125" s="729" t="s">
        <v>806</v>
      </c>
      <c r="AA125" s="729" t="s">
        <v>999</v>
      </c>
      <c r="AB125" s="247">
        <f>W125*0.15%</f>
        <v>63600</v>
      </c>
      <c r="AC125" s="247">
        <f t="shared" si="16"/>
        <v>38198198.198198192</v>
      </c>
      <c r="AD125" s="763"/>
      <c r="AE125" s="764" t="s">
        <v>778</v>
      </c>
      <c r="AF125" s="729" t="s">
        <v>778</v>
      </c>
      <c r="AG125" s="729" t="s">
        <v>778</v>
      </c>
      <c r="AH125" s="729">
        <v>807617</v>
      </c>
      <c r="AI125" s="753">
        <v>806422</v>
      </c>
      <c r="AJ125" s="729"/>
    </row>
    <row r="126" spans="1:36" s="258" customFormat="1" ht="20.100000000000001" customHeight="1">
      <c r="A126" s="718"/>
      <c r="B126" s="729"/>
      <c r="C126" s="729"/>
      <c r="D126" s="732"/>
      <c r="E126" s="729"/>
      <c r="F126" s="721"/>
      <c r="G126" s="729"/>
      <c r="H126" s="729"/>
      <c r="I126" s="729"/>
      <c r="J126" s="729"/>
      <c r="K126" s="721"/>
      <c r="L126" s="729"/>
      <c r="M126" s="729"/>
      <c r="N126" s="729"/>
      <c r="O126" s="730"/>
      <c r="P126" s="729"/>
      <c r="Q126" s="731"/>
      <c r="R126" s="855" t="e">
        <f t="shared" si="17"/>
        <v>#DIV/0!</v>
      </c>
      <c r="S126" s="731"/>
      <c r="T126" s="729"/>
      <c r="U126" s="731"/>
      <c r="V126" s="731"/>
      <c r="W126" s="731"/>
      <c r="X126" s="729"/>
      <c r="Y126" s="729"/>
      <c r="Z126" s="729"/>
      <c r="AA126" s="729"/>
      <c r="AB126" s="247">
        <f>W126*1.3%</f>
        <v>0</v>
      </c>
      <c r="AC126" s="247">
        <f t="shared" si="16"/>
        <v>0</v>
      </c>
      <c r="AD126" s="763"/>
      <c r="AE126" s="764"/>
      <c r="AF126" s="729"/>
      <c r="AG126" s="729"/>
      <c r="AH126" s="729">
        <v>806856</v>
      </c>
      <c r="AI126" s="753"/>
      <c r="AJ126" s="754"/>
    </row>
    <row r="127" spans="1:36" s="258" customFormat="1" ht="20.100000000000001" customHeight="1">
      <c r="A127" s="751"/>
      <c r="B127" s="729"/>
      <c r="C127" s="729"/>
      <c r="D127" s="732"/>
      <c r="E127" s="729"/>
      <c r="F127" s="729"/>
      <c r="G127" s="729"/>
      <c r="H127" s="729"/>
      <c r="I127" s="729"/>
      <c r="J127" s="729"/>
      <c r="K127" s="729"/>
      <c r="L127" s="729"/>
      <c r="M127" s="754"/>
      <c r="N127" s="729"/>
      <c r="O127" s="792"/>
      <c r="P127" s="729"/>
      <c r="Q127" s="731"/>
      <c r="R127" s="855" t="e">
        <f t="shared" si="17"/>
        <v>#DIV/0!</v>
      </c>
      <c r="S127" s="731"/>
      <c r="T127" s="729"/>
      <c r="U127" s="731"/>
      <c r="V127" s="755"/>
      <c r="W127" s="731"/>
      <c r="X127" s="729"/>
      <c r="Y127" s="729"/>
      <c r="Z127" s="729"/>
      <c r="AA127" s="729"/>
      <c r="AB127" s="247">
        <f t="shared" si="15"/>
        <v>0</v>
      </c>
      <c r="AC127" s="247">
        <f t="shared" si="16"/>
        <v>0</v>
      </c>
      <c r="AD127" s="763"/>
      <c r="AE127" s="764"/>
      <c r="AF127" s="729"/>
      <c r="AG127" s="729"/>
      <c r="AH127" s="729">
        <v>808138</v>
      </c>
      <c r="AI127" s="753"/>
      <c r="AJ127" s="754"/>
    </row>
    <row r="128" spans="1:36" s="258" customFormat="1" ht="20.100000000000001" customHeight="1">
      <c r="A128" s="718"/>
      <c r="B128" s="729" t="s">
        <v>1208</v>
      </c>
      <c r="C128" s="729" t="s">
        <v>1209</v>
      </c>
      <c r="D128" s="732" t="s">
        <v>1204</v>
      </c>
      <c r="E128" s="729">
        <v>13680242</v>
      </c>
      <c r="F128" s="568" t="s">
        <v>302</v>
      </c>
      <c r="G128" s="729"/>
      <c r="H128" s="729"/>
      <c r="I128" s="729"/>
      <c r="J128" s="729"/>
      <c r="K128" s="729" t="s">
        <v>89</v>
      </c>
      <c r="L128" s="729">
        <v>362586</v>
      </c>
      <c r="M128" s="729" t="s">
        <v>1210</v>
      </c>
      <c r="N128" s="729" t="s">
        <v>1211</v>
      </c>
      <c r="O128" s="730" t="s">
        <v>1212</v>
      </c>
      <c r="P128" s="729">
        <v>1</v>
      </c>
      <c r="Q128" s="731">
        <v>36800000</v>
      </c>
      <c r="R128" s="855">
        <f t="shared" si="17"/>
        <v>0</v>
      </c>
      <c r="S128" s="731">
        <v>36800000</v>
      </c>
      <c r="T128" s="729"/>
      <c r="U128" s="731"/>
      <c r="V128" s="755"/>
      <c r="W128" s="731">
        <v>36800000</v>
      </c>
      <c r="X128" s="729"/>
      <c r="Y128" s="729"/>
      <c r="Z128" s="729" t="s">
        <v>806</v>
      </c>
      <c r="AA128" s="729" t="s">
        <v>999</v>
      </c>
      <c r="AB128" s="247">
        <f>W128*0.15%</f>
        <v>55200</v>
      </c>
      <c r="AC128" s="247">
        <f t="shared" si="16"/>
        <v>33153153.153153151</v>
      </c>
      <c r="AD128" s="763"/>
      <c r="AE128" s="764" t="s">
        <v>778</v>
      </c>
      <c r="AF128" s="729" t="s">
        <v>778</v>
      </c>
      <c r="AG128" s="729" t="s">
        <v>778</v>
      </c>
      <c r="AH128" s="729">
        <v>806856</v>
      </c>
      <c r="AI128" s="753">
        <v>806422</v>
      </c>
      <c r="AJ128" s="728"/>
    </row>
    <row r="129" spans="1:36" s="258" customFormat="1" ht="20.100000000000001" customHeight="1">
      <c r="A129" s="718"/>
      <c r="B129" s="568"/>
      <c r="C129" s="753"/>
      <c r="D129" s="732"/>
      <c r="E129" s="729"/>
      <c r="F129" s="729"/>
      <c r="G129" s="729"/>
      <c r="H129" s="729"/>
      <c r="I129" s="729"/>
      <c r="J129" s="729"/>
      <c r="K129" s="721"/>
      <c r="L129" s="729"/>
      <c r="M129" s="729"/>
      <c r="N129" s="729"/>
      <c r="O129" s="730"/>
      <c r="P129" s="729"/>
      <c r="Q129" s="731"/>
      <c r="R129" s="855" t="e">
        <f t="shared" si="17"/>
        <v>#DIV/0!</v>
      </c>
      <c r="S129" s="731"/>
      <c r="T129" s="729"/>
      <c r="U129" s="731"/>
      <c r="V129" s="755"/>
      <c r="W129" s="731"/>
      <c r="X129" s="729"/>
      <c r="Y129" s="729"/>
      <c r="Z129" s="729"/>
      <c r="AA129" s="729"/>
      <c r="AB129" s="247">
        <f>W129*1.3%</f>
        <v>0</v>
      </c>
      <c r="AC129" s="247">
        <f t="shared" si="16"/>
        <v>0</v>
      </c>
      <c r="AD129" s="763"/>
      <c r="AE129" s="764"/>
      <c r="AF129" s="729"/>
      <c r="AG129" s="729"/>
      <c r="AH129" s="729">
        <v>808138</v>
      </c>
      <c r="AI129" s="753"/>
      <c r="AJ129" s="752"/>
    </row>
    <row r="130" spans="1:36" s="258" customFormat="1" ht="20.100000000000001" customHeight="1">
      <c r="A130" s="718"/>
      <c r="B130" s="729" t="s">
        <v>1213</v>
      </c>
      <c r="C130" s="729" t="s">
        <v>1214</v>
      </c>
      <c r="D130" s="732" t="s">
        <v>1215</v>
      </c>
      <c r="E130" s="729">
        <v>13680241</v>
      </c>
      <c r="F130" s="721" t="s">
        <v>184</v>
      </c>
      <c r="G130" s="729">
        <v>1</v>
      </c>
      <c r="H130" s="729"/>
      <c r="I130" s="729">
        <v>1</v>
      </c>
      <c r="J130" s="729"/>
      <c r="K130" s="729" t="s">
        <v>89</v>
      </c>
      <c r="L130" s="729">
        <v>359986</v>
      </c>
      <c r="M130" s="729" t="s">
        <v>1216</v>
      </c>
      <c r="N130" s="729" t="s">
        <v>1217</v>
      </c>
      <c r="O130" s="730" t="s">
        <v>1218</v>
      </c>
      <c r="P130" s="729">
        <v>1</v>
      </c>
      <c r="Q130" s="731">
        <v>51700000</v>
      </c>
      <c r="R130" s="855">
        <f t="shared" si="17"/>
        <v>0</v>
      </c>
      <c r="S130" s="731">
        <v>51700000</v>
      </c>
      <c r="T130" s="754"/>
      <c r="U130" s="731"/>
      <c r="V130" s="755"/>
      <c r="W130" s="731">
        <v>51700000</v>
      </c>
      <c r="X130" s="729"/>
      <c r="Y130" s="729"/>
      <c r="Z130" s="729" t="s">
        <v>806</v>
      </c>
      <c r="AA130" s="729" t="s">
        <v>1183</v>
      </c>
      <c r="AB130" s="247">
        <f>W130*1.3%</f>
        <v>672100.00000000012</v>
      </c>
      <c r="AC130" s="247">
        <f t="shared" si="16"/>
        <v>46576576.576576576</v>
      </c>
      <c r="AD130" s="763"/>
      <c r="AE130" s="764" t="s">
        <v>775</v>
      </c>
      <c r="AF130" s="729" t="s">
        <v>775</v>
      </c>
      <c r="AG130" s="729" t="s">
        <v>775</v>
      </c>
      <c r="AH130" s="729">
        <v>806856</v>
      </c>
      <c r="AI130" s="753">
        <v>806422</v>
      </c>
      <c r="AJ130" s="729"/>
    </row>
    <row r="131" spans="1:36" s="258" customFormat="1" ht="20.100000000000001" customHeight="1">
      <c r="A131" s="751"/>
      <c r="B131" s="729"/>
      <c r="C131" s="729"/>
      <c r="D131" s="732"/>
      <c r="E131" s="729"/>
      <c r="F131" s="729"/>
      <c r="G131" s="729"/>
      <c r="H131" s="729"/>
      <c r="I131" s="729"/>
      <c r="J131" s="729"/>
      <c r="K131" s="721"/>
      <c r="L131" s="729"/>
      <c r="M131" s="729"/>
      <c r="N131" s="729"/>
      <c r="O131" s="730"/>
      <c r="P131" s="729"/>
      <c r="Q131" s="731"/>
      <c r="R131" s="855" t="e">
        <f t="shared" si="17"/>
        <v>#DIV/0!</v>
      </c>
      <c r="S131" s="731"/>
      <c r="T131" s="729"/>
      <c r="U131" s="731"/>
      <c r="V131" s="755"/>
      <c r="W131" s="731"/>
      <c r="X131" s="729"/>
      <c r="Y131" s="729"/>
      <c r="Z131" s="729"/>
      <c r="AA131" s="729"/>
      <c r="AB131" s="247">
        <f>W131*1.3%</f>
        <v>0</v>
      </c>
      <c r="AC131" s="247">
        <f t="shared" si="16"/>
        <v>0</v>
      </c>
      <c r="AD131" s="763"/>
      <c r="AE131" s="764"/>
      <c r="AF131" s="729"/>
      <c r="AG131" s="729"/>
      <c r="AH131" s="729">
        <v>807617</v>
      </c>
      <c r="AI131" s="753"/>
      <c r="AJ131" s="729"/>
    </row>
    <row r="132" spans="1:36" s="258" customFormat="1" ht="20.100000000000001" customHeight="1">
      <c r="A132" s="718"/>
      <c r="B132" s="729"/>
      <c r="C132" s="729"/>
      <c r="D132" s="732"/>
      <c r="E132" s="729"/>
      <c r="F132" s="729"/>
      <c r="G132" s="729"/>
      <c r="H132" s="729"/>
      <c r="I132" s="729"/>
      <c r="J132" s="729"/>
      <c r="K132" s="721"/>
      <c r="L132" s="729"/>
      <c r="M132" s="729"/>
      <c r="N132" s="729"/>
      <c r="O132" s="730"/>
      <c r="P132" s="729"/>
      <c r="Q132" s="731"/>
      <c r="R132" s="855" t="e">
        <f t="shared" si="17"/>
        <v>#DIV/0!</v>
      </c>
      <c r="S132" s="731"/>
      <c r="T132" s="729"/>
      <c r="U132" s="731"/>
      <c r="V132" s="755"/>
      <c r="W132" s="731"/>
      <c r="X132" s="729"/>
      <c r="Y132" s="729"/>
      <c r="Z132" s="729"/>
      <c r="AA132" s="729"/>
      <c r="AB132" s="247">
        <f>W132*1.3%</f>
        <v>0</v>
      </c>
      <c r="AC132" s="247">
        <f t="shared" si="16"/>
        <v>0</v>
      </c>
      <c r="AD132" s="763">
        <f>SUM(AC122:AC132)</f>
        <v>117927927.92792793</v>
      </c>
      <c r="AE132" s="764"/>
      <c r="AF132" s="729"/>
      <c r="AG132" s="729"/>
      <c r="AH132" s="729">
        <v>807567</v>
      </c>
      <c r="AI132" s="753"/>
      <c r="AJ132" s="752"/>
    </row>
    <row r="133" spans="1:36" s="258" customFormat="1" ht="20.100000000000001" customHeight="1">
      <c r="A133" s="718">
        <v>46278</v>
      </c>
      <c r="B133" s="729" t="s">
        <v>1236</v>
      </c>
      <c r="C133" s="729" t="s">
        <v>1237</v>
      </c>
      <c r="D133" s="732" t="s">
        <v>1232</v>
      </c>
      <c r="E133" s="729">
        <v>13643721</v>
      </c>
      <c r="F133" s="721" t="s">
        <v>302</v>
      </c>
      <c r="G133" s="729"/>
      <c r="H133" s="729">
        <v>1</v>
      </c>
      <c r="I133" s="729"/>
      <c r="J133" s="729">
        <v>1</v>
      </c>
      <c r="K133" s="897" t="s">
        <v>95</v>
      </c>
      <c r="L133" s="729">
        <v>42761</v>
      </c>
      <c r="M133" s="729" t="s">
        <v>1238</v>
      </c>
      <c r="N133" s="729">
        <v>42761</v>
      </c>
      <c r="O133" s="730" t="s">
        <v>1238</v>
      </c>
      <c r="P133" s="729">
        <v>1</v>
      </c>
      <c r="Q133" s="731">
        <v>3220000</v>
      </c>
      <c r="R133" s="855">
        <f t="shared" si="17"/>
        <v>0</v>
      </c>
      <c r="S133" s="731">
        <v>3220000</v>
      </c>
      <c r="T133" s="729"/>
      <c r="U133" s="731"/>
      <c r="V133" s="755"/>
      <c r="W133" s="731">
        <v>3220000</v>
      </c>
      <c r="X133" s="729"/>
      <c r="Y133" s="729"/>
      <c r="Z133" s="729" t="s">
        <v>806</v>
      </c>
      <c r="AA133" s="729" t="s">
        <v>999</v>
      </c>
      <c r="AB133" s="247">
        <f>W133*0.15%</f>
        <v>4830</v>
      </c>
      <c r="AC133" s="247">
        <f t="shared" si="16"/>
        <v>2900900.9009009008</v>
      </c>
      <c r="AD133" s="763"/>
      <c r="AE133" s="764" t="s">
        <v>786</v>
      </c>
      <c r="AF133" s="729" t="s">
        <v>786</v>
      </c>
      <c r="AG133" s="729" t="s">
        <v>786</v>
      </c>
      <c r="AH133" s="729">
        <v>807617</v>
      </c>
      <c r="AI133" s="753"/>
      <c r="AJ133" s="728"/>
    </row>
    <row r="134" spans="1:36" s="258" customFormat="1" ht="20.100000000000001" customHeight="1">
      <c r="A134" s="751"/>
      <c r="B134" s="729"/>
      <c r="C134" s="729"/>
      <c r="D134" s="732"/>
      <c r="E134" s="729"/>
      <c r="F134" s="729"/>
      <c r="G134" s="729"/>
      <c r="H134" s="729"/>
      <c r="I134" s="729"/>
      <c r="J134" s="729"/>
      <c r="K134" s="729"/>
      <c r="L134" s="729"/>
      <c r="M134" s="729"/>
      <c r="N134" s="729"/>
      <c r="O134" s="730"/>
      <c r="P134" s="729"/>
      <c r="Q134" s="731"/>
      <c r="R134" s="855" t="e">
        <f t="shared" si="17"/>
        <v>#DIV/0!</v>
      </c>
      <c r="S134" s="731"/>
      <c r="T134" s="729"/>
      <c r="U134" s="731"/>
      <c r="V134" s="755"/>
      <c r="W134" s="731"/>
      <c r="X134" s="729"/>
      <c r="Y134" s="729"/>
      <c r="Z134" s="729"/>
      <c r="AA134" s="729"/>
      <c r="AB134" s="247">
        <f t="shared" si="15"/>
        <v>0</v>
      </c>
      <c r="AC134" s="247">
        <f t="shared" si="16"/>
        <v>0</v>
      </c>
      <c r="AD134" s="763"/>
      <c r="AE134" s="764"/>
      <c r="AF134" s="729"/>
      <c r="AG134" s="729"/>
      <c r="AH134" s="729">
        <v>806856</v>
      </c>
      <c r="AI134" s="753"/>
      <c r="AJ134" s="729"/>
    </row>
    <row r="135" spans="1:36" s="258" customFormat="1" ht="19.5" customHeight="1">
      <c r="A135" s="751"/>
      <c r="B135" s="729" t="s">
        <v>1239</v>
      </c>
      <c r="C135" s="729" t="s">
        <v>1240</v>
      </c>
      <c r="D135" s="732" t="s">
        <v>1186</v>
      </c>
      <c r="E135" s="729">
        <v>13679059</v>
      </c>
      <c r="F135" s="721" t="s">
        <v>302</v>
      </c>
      <c r="G135" s="729"/>
      <c r="H135" s="729">
        <v>1</v>
      </c>
      <c r="I135" s="729"/>
      <c r="J135" s="729">
        <v>1</v>
      </c>
      <c r="K135" s="911" t="s">
        <v>98</v>
      </c>
      <c r="L135" s="729">
        <v>291243</v>
      </c>
      <c r="M135" s="729">
        <v>291243</v>
      </c>
      <c r="N135" s="729" t="s">
        <v>1241</v>
      </c>
      <c r="O135" s="730" t="s">
        <v>1242</v>
      </c>
      <c r="P135" s="729">
        <v>1</v>
      </c>
      <c r="Q135" s="731">
        <v>9800000</v>
      </c>
      <c r="R135" s="855">
        <f t="shared" si="17"/>
        <v>0</v>
      </c>
      <c r="S135" s="731">
        <v>9800000</v>
      </c>
      <c r="T135" s="729"/>
      <c r="U135" s="731" t="s">
        <v>1184</v>
      </c>
      <c r="V135" s="755"/>
      <c r="W135" s="731"/>
      <c r="X135" s="729"/>
      <c r="Y135" s="729"/>
      <c r="Z135" s="729"/>
      <c r="AA135" s="729"/>
      <c r="AB135" s="247">
        <f t="shared" si="15"/>
        <v>0</v>
      </c>
      <c r="AC135" s="247">
        <f t="shared" si="16"/>
        <v>8828828.8288288284</v>
      </c>
      <c r="AD135" s="763"/>
      <c r="AE135" s="764" t="s">
        <v>781</v>
      </c>
      <c r="AF135" s="729" t="s">
        <v>781</v>
      </c>
      <c r="AG135" s="729" t="s">
        <v>781</v>
      </c>
      <c r="AH135" s="729">
        <v>806855</v>
      </c>
      <c r="AI135" s="753">
        <v>806422</v>
      </c>
      <c r="AJ135" s="729"/>
    </row>
    <row r="136" spans="1:36" s="258" customFormat="1" ht="20.100000000000001" customHeight="1">
      <c r="A136" s="751"/>
      <c r="B136" s="729"/>
      <c r="C136" s="729"/>
      <c r="D136" s="732"/>
      <c r="E136" s="729"/>
      <c r="F136" s="721"/>
      <c r="G136" s="729"/>
      <c r="H136" s="729"/>
      <c r="I136" s="729"/>
      <c r="J136" s="729"/>
      <c r="K136" s="721"/>
      <c r="L136" s="729"/>
      <c r="M136" s="729"/>
      <c r="N136" s="729"/>
      <c r="O136" s="730"/>
      <c r="P136" s="729"/>
      <c r="Q136" s="731"/>
      <c r="R136" s="855" t="e">
        <f t="shared" si="17"/>
        <v>#DIV/0!</v>
      </c>
      <c r="S136" s="731"/>
      <c r="T136" s="729"/>
      <c r="U136" s="731"/>
      <c r="V136" s="731"/>
      <c r="W136" s="731"/>
      <c r="X136" s="729"/>
      <c r="Y136" s="729"/>
      <c r="Z136" s="729"/>
      <c r="AA136" s="729"/>
      <c r="AB136" s="247">
        <f>W136*0.15%</f>
        <v>0</v>
      </c>
      <c r="AC136" s="247">
        <f t="shared" ref="AC136:AC157" si="18">(S136/1.11)</f>
        <v>0</v>
      </c>
      <c r="AD136" s="763">
        <f>SUM(AC133:AC136)</f>
        <v>11729729.729729729</v>
      </c>
      <c r="AE136" s="764"/>
      <c r="AF136" s="729"/>
      <c r="AG136" s="729"/>
      <c r="AH136" s="729">
        <v>807617</v>
      </c>
      <c r="AI136" s="753"/>
      <c r="AJ136" s="752"/>
    </row>
    <row r="137" spans="1:36" s="258" customFormat="1" ht="20.100000000000001" customHeight="1">
      <c r="A137" s="718">
        <v>46279</v>
      </c>
      <c r="B137" s="754" t="s">
        <v>799</v>
      </c>
      <c r="C137" s="729"/>
      <c r="D137" s="732"/>
      <c r="E137" s="729"/>
      <c r="F137" s="729"/>
      <c r="G137" s="729"/>
      <c r="H137" s="729"/>
      <c r="I137" s="729"/>
      <c r="J137" s="729"/>
      <c r="K137" s="729"/>
      <c r="L137" s="729"/>
      <c r="M137" s="729"/>
      <c r="N137" s="729"/>
      <c r="O137" s="730"/>
      <c r="P137" s="729"/>
      <c r="Q137" s="731"/>
      <c r="R137" s="855" t="e">
        <f t="shared" si="17"/>
        <v>#DIV/0!</v>
      </c>
      <c r="S137" s="731"/>
      <c r="T137" s="729"/>
      <c r="U137" s="731"/>
      <c r="V137" s="755"/>
      <c r="W137" s="731"/>
      <c r="X137" s="729"/>
      <c r="Y137" s="729"/>
      <c r="Z137" s="729"/>
      <c r="AA137" s="729"/>
      <c r="AB137" s="247">
        <f t="shared" si="15"/>
        <v>0</v>
      </c>
      <c r="AC137" s="247">
        <f t="shared" si="18"/>
        <v>0</v>
      </c>
      <c r="AD137" s="763"/>
      <c r="AE137" s="764"/>
      <c r="AF137" s="729"/>
      <c r="AG137" s="729"/>
      <c r="AH137" s="729"/>
      <c r="AI137" s="753"/>
      <c r="AJ137" s="729"/>
    </row>
    <row r="138" spans="1:36" s="258" customFormat="1" ht="20.100000000000001" customHeight="1">
      <c r="A138" s="718">
        <v>46280</v>
      </c>
      <c r="B138" s="729" t="s">
        <v>1261</v>
      </c>
      <c r="C138" s="729" t="s">
        <v>1262</v>
      </c>
      <c r="D138" s="732" t="s">
        <v>1263</v>
      </c>
      <c r="E138" s="729">
        <v>13684433</v>
      </c>
      <c r="F138" s="721" t="s">
        <v>302</v>
      </c>
      <c r="G138" s="729"/>
      <c r="H138" s="729">
        <v>1</v>
      </c>
      <c r="I138" s="729"/>
      <c r="J138" s="729">
        <v>1</v>
      </c>
      <c r="K138" s="729" t="s">
        <v>89</v>
      </c>
      <c r="L138" s="729">
        <v>361988</v>
      </c>
      <c r="M138" s="729" t="s">
        <v>1264</v>
      </c>
      <c r="N138" s="729" t="s">
        <v>1265</v>
      </c>
      <c r="O138" s="730" t="s">
        <v>1266</v>
      </c>
      <c r="P138" s="729">
        <v>1</v>
      </c>
      <c r="Q138" s="731">
        <v>58700000</v>
      </c>
      <c r="R138" s="855">
        <f t="shared" si="17"/>
        <v>0</v>
      </c>
      <c r="S138" s="731">
        <v>58700000</v>
      </c>
      <c r="T138" s="729"/>
      <c r="U138" s="731"/>
      <c r="V138" s="731">
        <v>58700000</v>
      </c>
      <c r="W138" s="731"/>
      <c r="X138" s="729"/>
      <c r="Y138" s="729" t="s">
        <v>806</v>
      </c>
      <c r="Z138" s="729"/>
      <c r="AA138" s="729"/>
      <c r="AB138" s="247">
        <f>W138*1.75%</f>
        <v>0</v>
      </c>
      <c r="AC138" s="247">
        <f t="shared" si="18"/>
        <v>52882882.882882878</v>
      </c>
      <c r="AD138" s="763"/>
      <c r="AE138" s="764" t="s">
        <v>796</v>
      </c>
      <c r="AF138" s="729" t="s">
        <v>796</v>
      </c>
      <c r="AG138" s="729" t="s">
        <v>796</v>
      </c>
      <c r="AH138" s="729">
        <v>807568</v>
      </c>
      <c r="AI138" s="753">
        <v>806422</v>
      </c>
      <c r="AJ138" s="729"/>
    </row>
    <row r="139" spans="1:36" s="258" customFormat="1" ht="20.100000000000001" customHeight="1">
      <c r="A139" s="718"/>
      <c r="B139" s="729"/>
      <c r="C139" s="729"/>
      <c r="D139" s="732"/>
      <c r="E139" s="729"/>
      <c r="F139" s="721"/>
      <c r="G139" s="729"/>
      <c r="H139" s="729"/>
      <c r="I139" s="729"/>
      <c r="J139" s="729"/>
      <c r="K139" s="729"/>
      <c r="L139" s="729"/>
      <c r="M139" s="729"/>
      <c r="N139" s="729"/>
      <c r="O139" s="730"/>
      <c r="P139" s="729"/>
      <c r="Q139" s="796"/>
      <c r="R139" s="855" t="e">
        <f t="shared" ref="R139:R169" si="19">(Q139-S139)/Q139*100</f>
        <v>#DIV/0!</v>
      </c>
      <c r="S139" s="796"/>
      <c r="T139" s="729"/>
      <c r="U139" s="731"/>
      <c r="V139" s="755"/>
      <c r="W139" s="731"/>
      <c r="X139" s="729"/>
      <c r="Y139" s="729"/>
      <c r="Z139" s="729"/>
      <c r="AA139" s="729"/>
      <c r="AB139" s="247">
        <f>W139*1.3%</f>
        <v>0</v>
      </c>
      <c r="AC139" s="247">
        <f t="shared" si="18"/>
        <v>0</v>
      </c>
      <c r="AD139" s="763"/>
      <c r="AE139" s="764"/>
      <c r="AF139" s="729"/>
      <c r="AG139" s="729"/>
      <c r="AH139" s="729">
        <v>806856</v>
      </c>
      <c r="AI139" s="753"/>
      <c r="AJ139" s="729"/>
    </row>
    <row r="140" spans="1:36" s="258" customFormat="1" ht="20.100000000000001" customHeight="1">
      <c r="A140" s="751"/>
      <c r="B140" s="729"/>
      <c r="C140" s="729"/>
      <c r="D140" s="732"/>
      <c r="E140" s="729"/>
      <c r="F140" s="721"/>
      <c r="G140" s="729"/>
      <c r="H140" s="729"/>
      <c r="I140" s="729"/>
      <c r="J140" s="729"/>
      <c r="K140" s="737"/>
      <c r="L140" s="729"/>
      <c r="M140" s="729"/>
      <c r="N140" s="729"/>
      <c r="O140" s="730"/>
      <c r="P140" s="729"/>
      <c r="Q140" s="731"/>
      <c r="R140" s="855" t="e">
        <f t="shared" si="19"/>
        <v>#DIV/0!</v>
      </c>
      <c r="S140" s="731"/>
      <c r="T140" s="729"/>
      <c r="U140" s="731"/>
      <c r="V140" s="755"/>
      <c r="W140" s="731"/>
      <c r="X140" s="729"/>
      <c r="Y140" s="729"/>
      <c r="Z140" s="729"/>
      <c r="AA140" s="729"/>
      <c r="AB140" s="247">
        <f>W140*0.15%</f>
        <v>0</v>
      </c>
      <c r="AC140" s="247">
        <f t="shared" si="18"/>
        <v>0</v>
      </c>
      <c r="AD140" s="763"/>
      <c r="AE140" s="764"/>
      <c r="AF140" s="729"/>
      <c r="AG140" s="729"/>
      <c r="AH140" s="729">
        <v>807617</v>
      </c>
      <c r="AI140" s="753"/>
      <c r="AJ140" s="728"/>
    </row>
    <row r="141" spans="1:36" s="258" customFormat="1" ht="20.100000000000001" customHeight="1">
      <c r="A141" s="751"/>
      <c r="B141" s="729" t="s">
        <v>1267</v>
      </c>
      <c r="C141" s="729" t="s">
        <v>1268</v>
      </c>
      <c r="D141" s="732" t="s">
        <v>1269</v>
      </c>
      <c r="E141" s="729">
        <v>13684347</v>
      </c>
      <c r="F141" s="721" t="s">
        <v>302</v>
      </c>
      <c r="G141" s="729">
        <v>1</v>
      </c>
      <c r="H141" s="729"/>
      <c r="I141" s="729">
        <v>1</v>
      </c>
      <c r="J141" s="729"/>
      <c r="K141" s="729" t="s">
        <v>89</v>
      </c>
      <c r="L141" s="729">
        <v>362584</v>
      </c>
      <c r="M141" s="729" t="s">
        <v>1210</v>
      </c>
      <c r="N141" s="729" t="s">
        <v>1270</v>
      </c>
      <c r="O141" s="730" t="s">
        <v>1271</v>
      </c>
      <c r="P141" s="729">
        <v>1</v>
      </c>
      <c r="Q141" s="731">
        <v>36800000</v>
      </c>
      <c r="R141" s="855">
        <f t="shared" si="19"/>
        <v>0</v>
      </c>
      <c r="S141" s="731">
        <f>Q141</f>
        <v>36800000</v>
      </c>
      <c r="T141" s="729"/>
      <c r="U141" s="731"/>
      <c r="V141" s="755"/>
      <c r="W141" s="731">
        <f>S141</f>
        <v>36800000</v>
      </c>
      <c r="X141" s="729"/>
      <c r="Y141" s="729"/>
      <c r="Z141" s="729" t="s">
        <v>806</v>
      </c>
      <c r="AA141" s="729" t="s">
        <v>811</v>
      </c>
      <c r="AB141" s="247">
        <f>W141*1.25%</f>
        <v>460000</v>
      </c>
      <c r="AC141" s="247">
        <f t="shared" si="18"/>
        <v>33153153.153153151</v>
      </c>
      <c r="AD141" s="763"/>
      <c r="AE141" s="764" t="s">
        <v>786</v>
      </c>
      <c r="AF141" s="729" t="s">
        <v>786</v>
      </c>
      <c r="AG141" s="729" t="s">
        <v>786</v>
      </c>
      <c r="AH141" s="729">
        <v>806742</v>
      </c>
      <c r="AI141" s="753">
        <v>806422</v>
      </c>
      <c r="AJ141" s="729"/>
    </row>
    <row r="142" spans="1:36" s="258" customFormat="1" ht="20.100000000000001" customHeight="1">
      <c r="A142" s="718"/>
      <c r="B142" s="729"/>
      <c r="C142" s="729"/>
      <c r="D142" s="797"/>
      <c r="E142" s="729"/>
      <c r="F142" s="729"/>
      <c r="G142" s="729"/>
      <c r="H142" s="729"/>
      <c r="I142" s="729"/>
      <c r="J142" s="729"/>
      <c r="K142" s="729"/>
      <c r="L142" s="729"/>
      <c r="M142" s="729"/>
      <c r="N142" s="729"/>
      <c r="O142" s="730"/>
      <c r="P142" s="729"/>
      <c r="Q142" s="731"/>
      <c r="R142" s="855" t="e">
        <f t="shared" si="19"/>
        <v>#DIV/0!</v>
      </c>
      <c r="S142" s="731"/>
      <c r="T142" s="729"/>
      <c r="U142" s="731"/>
      <c r="V142" s="755"/>
      <c r="W142" s="731"/>
      <c r="X142" s="729"/>
      <c r="Y142" s="729"/>
      <c r="Z142" s="729"/>
      <c r="AA142" s="729"/>
      <c r="AB142" s="247">
        <f>W142*1.3%</f>
        <v>0</v>
      </c>
      <c r="AC142" s="247">
        <f t="shared" si="18"/>
        <v>0</v>
      </c>
      <c r="AD142" s="763"/>
      <c r="AE142" s="764"/>
      <c r="AF142" s="729"/>
      <c r="AG142" s="729"/>
      <c r="AH142" s="729">
        <v>807617</v>
      </c>
      <c r="AI142" s="753"/>
      <c r="AJ142" s="729"/>
    </row>
    <row r="143" spans="1:36" s="258" customFormat="1" ht="20.100000000000001" customHeight="1">
      <c r="A143" s="718"/>
      <c r="B143" s="729"/>
      <c r="C143" s="729"/>
      <c r="D143" s="732"/>
      <c r="E143" s="729"/>
      <c r="F143" s="721"/>
      <c r="G143" s="729"/>
      <c r="H143" s="729"/>
      <c r="I143" s="729"/>
      <c r="J143" s="729"/>
      <c r="K143" s="737"/>
      <c r="L143" s="729"/>
      <c r="M143" s="729"/>
      <c r="N143" s="729"/>
      <c r="O143" s="730"/>
      <c r="P143" s="729"/>
      <c r="Q143" s="731"/>
      <c r="R143" s="855" t="e">
        <f t="shared" si="19"/>
        <v>#DIV/0!</v>
      </c>
      <c r="S143" s="731"/>
      <c r="T143" s="729"/>
      <c r="U143" s="731"/>
      <c r="V143" s="755"/>
      <c r="W143" s="731"/>
      <c r="X143" s="729"/>
      <c r="Y143" s="729"/>
      <c r="Z143" s="729"/>
      <c r="AA143" s="729"/>
      <c r="AB143" s="247">
        <f>W143*0.15%</f>
        <v>0</v>
      </c>
      <c r="AC143" s="247">
        <f t="shared" si="18"/>
        <v>0</v>
      </c>
      <c r="AD143" s="763"/>
      <c r="AE143" s="764"/>
      <c r="AF143" s="729"/>
      <c r="AG143" s="729"/>
      <c r="AH143" s="729">
        <v>806855</v>
      </c>
      <c r="AI143" s="753"/>
      <c r="AJ143" s="729"/>
    </row>
    <row r="144" spans="1:36" s="258" customFormat="1" ht="20.100000000000001" customHeight="1">
      <c r="A144" s="751"/>
      <c r="B144" s="729" t="s">
        <v>1272</v>
      </c>
      <c r="C144" s="729" t="s">
        <v>1273</v>
      </c>
      <c r="D144" s="732" t="s">
        <v>1274</v>
      </c>
      <c r="E144" s="729">
        <v>13687839</v>
      </c>
      <c r="F144" s="721" t="s">
        <v>302</v>
      </c>
      <c r="G144" s="729">
        <v>1</v>
      </c>
      <c r="H144" s="729"/>
      <c r="I144" s="729">
        <v>1</v>
      </c>
      <c r="J144" s="729"/>
      <c r="K144" s="729" t="s">
        <v>89</v>
      </c>
      <c r="L144" s="729">
        <v>357255</v>
      </c>
      <c r="M144" s="729" t="s">
        <v>914</v>
      </c>
      <c r="N144" s="729" t="s">
        <v>1275</v>
      </c>
      <c r="O144" s="730" t="s">
        <v>916</v>
      </c>
      <c r="P144" s="729">
        <v>1</v>
      </c>
      <c r="Q144" s="731">
        <v>46700000</v>
      </c>
      <c r="R144" s="855">
        <f t="shared" si="19"/>
        <v>0</v>
      </c>
      <c r="S144" s="731">
        <f>Q144</f>
        <v>46700000</v>
      </c>
      <c r="T144" s="729"/>
      <c r="U144" s="731"/>
      <c r="V144" s="755"/>
      <c r="W144" s="731">
        <f>S144</f>
        <v>46700000</v>
      </c>
      <c r="X144" s="729"/>
      <c r="Y144" s="729"/>
      <c r="Z144" s="729" t="s">
        <v>917</v>
      </c>
      <c r="AA144" s="729" t="s">
        <v>933</v>
      </c>
      <c r="AB144" s="247">
        <f>W144*0.15%</f>
        <v>70050</v>
      </c>
      <c r="AC144" s="247">
        <f t="shared" si="18"/>
        <v>42072072.072072066</v>
      </c>
      <c r="AD144" s="763"/>
      <c r="AE144" s="764" t="s">
        <v>767</v>
      </c>
      <c r="AF144" s="729" t="s">
        <v>767</v>
      </c>
      <c r="AG144" s="729" t="s">
        <v>767</v>
      </c>
      <c r="AH144" s="729">
        <v>807617</v>
      </c>
      <c r="AI144" s="753">
        <v>806422</v>
      </c>
      <c r="AJ144" s="729"/>
    </row>
    <row r="145" spans="1:36" s="258" customFormat="1" ht="19.5" customHeight="1">
      <c r="A145" s="751"/>
      <c r="B145" s="729"/>
      <c r="C145" s="729"/>
      <c r="D145" s="732"/>
      <c r="E145" s="729"/>
      <c r="F145" s="729"/>
      <c r="G145" s="729"/>
      <c r="H145" s="729"/>
      <c r="I145" s="729"/>
      <c r="J145" s="729"/>
      <c r="K145" s="729"/>
      <c r="L145" s="729"/>
      <c r="M145" s="729"/>
      <c r="N145" s="729"/>
      <c r="O145" s="730"/>
      <c r="P145" s="729"/>
      <c r="Q145" s="731"/>
      <c r="R145" s="855" t="e">
        <f t="shared" si="19"/>
        <v>#DIV/0!</v>
      </c>
      <c r="S145" s="731"/>
      <c r="T145" s="729"/>
      <c r="U145" s="731"/>
      <c r="V145" s="755"/>
      <c r="W145" s="731"/>
      <c r="X145" s="729"/>
      <c r="Y145" s="729"/>
      <c r="Z145" s="729"/>
      <c r="AA145" s="729"/>
      <c r="AB145" s="247">
        <f>W145*0.15%</f>
        <v>0</v>
      </c>
      <c r="AC145" s="247">
        <f t="shared" si="18"/>
        <v>0</v>
      </c>
      <c r="AD145" s="763"/>
      <c r="AE145" s="764"/>
      <c r="AF145" s="729"/>
      <c r="AG145" s="729"/>
      <c r="AH145" s="729">
        <v>806856</v>
      </c>
      <c r="AI145" s="753"/>
      <c r="AJ145" s="768"/>
    </row>
    <row r="146" spans="1:36" s="258" customFormat="1" ht="20.100000000000001" customHeight="1">
      <c r="A146" s="751"/>
      <c r="B146" s="729"/>
      <c r="C146" s="729"/>
      <c r="D146" s="732"/>
      <c r="E146" s="729"/>
      <c r="F146" s="721"/>
      <c r="G146" s="729"/>
      <c r="H146" s="729"/>
      <c r="I146" s="729"/>
      <c r="J146" s="729"/>
      <c r="K146" s="729"/>
      <c r="L146" s="729"/>
      <c r="M146" s="754"/>
      <c r="N146" s="729"/>
      <c r="O146" s="792"/>
      <c r="P146" s="729"/>
      <c r="Q146" s="731"/>
      <c r="R146" s="855" t="e">
        <f t="shared" si="19"/>
        <v>#DIV/0!</v>
      </c>
      <c r="S146" s="731"/>
      <c r="T146" s="729"/>
      <c r="U146" s="731"/>
      <c r="V146" s="755"/>
      <c r="W146" s="731"/>
      <c r="X146" s="729"/>
      <c r="Y146" s="729"/>
      <c r="Z146" s="729"/>
      <c r="AA146" s="729"/>
      <c r="AB146" s="247">
        <f>W146*1.9%</f>
        <v>0</v>
      </c>
      <c r="AC146" s="247">
        <f t="shared" si="18"/>
        <v>0</v>
      </c>
      <c r="AD146" s="763"/>
      <c r="AE146" s="764"/>
      <c r="AF146" s="729"/>
      <c r="AG146" s="729"/>
      <c r="AH146" s="729">
        <v>807567</v>
      </c>
      <c r="AI146" s="753"/>
      <c r="AJ146" s="754"/>
    </row>
    <row r="147" spans="1:36" s="258" customFormat="1" ht="20.100000000000001" customHeight="1">
      <c r="A147" s="751"/>
      <c r="B147" s="729" t="s">
        <v>1287</v>
      </c>
      <c r="C147" s="729" t="s">
        <v>1288</v>
      </c>
      <c r="D147" s="732" t="s">
        <v>1289</v>
      </c>
      <c r="E147" s="729">
        <v>13258274</v>
      </c>
      <c r="F147" s="721" t="s">
        <v>302</v>
      </c>
      <c r="G147" s="729">
        <v>1</v>
      </c>
      <c r="H147" s="729"/>
      <c r="I147" s="729"/>
      <c r="J147" s="729">
        <v>1</v>
      </c>
      <c r="K147" s="729" t="s">
        <v>89</v>
      </c>
      <c r="L147" s="729">
        <v>360469</v>
      </c>
      <c r="M147" s="729" t="s">
        <v>1290</v>
      </c>
      <c r="N147" s="729" t="s">
        <v>1291</v>
      </c>
      <c r="O147" s="730" t="s">
        <v>1292</v>
      </c>
      <c r="P147" s="729">
        <v>1</v>
      </c>
      <c r="Q147" s="731">
        <v>85800000</v>
      </c>
      <c r="R147" s="855">
        <f t="shared" si="19"/>
        <v>0</v>
      </c>
      <c r="S147" s="731">
        <f>Q147</f>
        <v>85800000</v>
      </c>
      <c r="T147" s="742"/>
      <c r="U147" s="731"/>
      <c r="V147" s="755"/>
      <c r="W147" s="731">
        <f>S147</f>
        <v>85800000</v>
      </c>
      <c r="X147" s="729"/>
      <c r="Y147" s="729"/>
      <c r="Z147" s="729" t="s">
        <v>917</v>
      </c>
      <c r="AA147" s="729" t="s">
        <v>1077</v>
      </c>
      <c r="AB147" s="247">
        <f>W147*1.7%</f>
        <v>1458600</v>
      </c>
      <c r="AC147" s="247">
        <f t="shared" si="18"/>
        <v>77297297.297297284</v>
      </c>
      <c r="AD147" s="763"/>
      <c r="AE147" s="764" t="s">
        <v>767</v>
      </c>
      <c r="AF147" s="729" t="s">
        <v>767</v>
      </c>
      <c r="AG147" s="729" t="s">
        <v>767</v>
      </c>
      <c r="AH147" s="729">
        <v>807566</v>
      </c>
      <c r="AI147" s="753">
        <v>806422</v>
      </c>
      <c r="AJ147" s="754" t="s">
        <v>1293</v>
      </c>
    </row>
    <row r="148" spans="1:36" s="258" customFormat="1" ht="20.100000000000001" customHeight="1">
      <c r="A148" s="751"/>
      <c r="B148" s="729"/>
      <c r="C148" s="729"/>
      <c r="D148" s="732"/>
      <c r="E148" s="729"/>
      <c r="F148" s="729"/>
      <c r="G148" s="729"/>
      <c r="H148" s="729"/>
      <c r="I148" s="729"/>
      <c r="J148" s="729"/>
      <c r="K148" s="737"/>
      <c r="L148" s="729"/>
      <c r="M148" s="729"/>
      <c r="N148" s="729"/>
      <c r="O148" s="730"/>
      <c r="P148" s="729"/>
      <c r="Q148" s="731"/>
      <c r="R148" s="855" t="e">
        <f t="shared" si="19"/>
        <v>#DIV/0!</v>
      </c>
      <c r="S148" s="731"/>
      <c r="T148" s="729"/>
      <c r="U148" s="731"/>
      <c r="V148" s="755"/>
      <c r="W148" s="731"/>
      <c r="X148" s="729"/>
      <c r="Y148" s="729"/>
      <c r="Z148" s="729"/>
      <c r="AA148" s="729"/>
      <c r="AB148" s="247">
        <f t="shared" si="15"/>
        <v>0</v>
      </c>
      <c r="AC148" s="247">
        <f t="shared" si="18"/>
        <v>0</v>
      </c>
      <c r="AD148" s="763"/>
      <c r="AE148" s="764"/>
      <c r="AF148" s="729"/>
      <c r="AG148" s="729"/>
      <c r="AH148" s="729">
        <v>807617</v>
      </c>
      <c r="AI148" s="753"/>
      <c r="AJ148" s="729"/>
    </row>
    <row r="149" spans="1:36" s="258" customFormat="1" ht="20.100000000000001" customHeight="1">
      <c r="A149" s="751"/>
      <c r="B149" s="729"/>
      <c r="C149" s="729"/>
      <c r="D149" s="732"/>
      <c r="E149" s="729"/>
      <c r="F149" s="729"/>
      <c r="G149" s="729"/>
      <c r="H149" s="729"/>
      <c r="I149" s="729"/>
      <c r="J149" s="729"/>
      <c r="K149" s="737"/>
      <c r="L149" s="729"/>
      <c r="M149" s="729"/>
      <c r="N149" s="729"/>
      <c r="O149" s="730"/>
      <c r="P149" s="729"/>
      <c r="Q149" s="731"/>
      <c r="R149" s="855" t="e">
        <f t="shared" si="19"/>
        <v>#DIV/0!</v>
      </c>
      <c r="S149" s="731"/>
      <c r="T149" s="729"/>
      <c r="U149" s="731"/>
      <c r="V149" s="755"/>
      <c r="W149" s="731"/>
      <c r="X149" s="729"/>
      <c r="Y149" s="729"/>
      <c r="Z149" s="729"/>
      <c r="AA149" s="729"/>
      <c r="AB149" s="247">
        <f t="shared" si="15"/>
        <v>0</v>
      </c>
      <c r="AC149" s="247">
        <f t="shared" si="18"/>
        <v>0</v>
      </c>
      <c r="AD149" s="763"/>
      <c r="AE149" s="764"/>
      <c r="AF149" s="729"/>
      <c r="AG149" s="729"/>
      <c r="AH149" s="729">
        <v>806856</v>
      </c>
      <c r="AI149" s="753"/>
      <c r="AJ149" s="760"/>
    </row>
    <row r="150" spans="1:36" s="258" customFormat="1" ht="20.100000000000001" customHeight="1">
      <c r="A150" s="718"/>
      <c r="B150" s="884" t="s">
        <v>1294</v>
      </c>
      <c r="C150" s="884" t="s">
        <v>1295</v>
      </c>
      <c r="D150" s="732"/>
      <c r="E150" s="729"/>
      <c r="F150" s="729"/>
      <c r="G150" s="729"/>
      <c r="H150" s="729"/>
      <c r="I150" s="729"/>
      <c r="J150" s="729"/>
      <c r="K150" s="737"/>
      <c r="L150" s="729"/>
      <c r="M150" s="729"/>
      <c r="N150" s="729"/>
      <c r="O150" s="730"/>
      <c r="P150" s="729"/>
      <c r="Q150" s="731"/>
      <c r="R150" s="855" t="e">
        <f t="shared" si="19"/>
        <v>#DIV/0!</v>
      </c>
      <c r="S150" s="731"/>
      <c r="T150" s="729"/>
      <c r="U150" s="731"/>
      <c r="V150" s="755"/>
      <c r="W150" s="731"/>
      <c r="X150" s="729"/>
      <c r="Y150" s="729"/>
      <c r="Z150" s="729"/>
      <c r="AA150" s="729"/>
      <c r="AB150" s="247">
        <f>W150*0.15%</f>
        <v>0</v>
      </c>
      <c r="AC150" s="247">
        <f t="shared" si="18"/>
        <v>0</v>
      </c>
      <c r="AD150" s="763">
        <f>SUM(AC137:AC150)</f>
        <v>205405405.4054054</v>
      </c>
      <c r="AE150" s="764"/>
      <c r="AF150" s="729"/>
      <c r="AG150" s="729"/>
      <c r="AH150" s="753"/>
      <c r="AI150" s="753"/>
      <c r="AJ150" s="884" t="s">
        <v>1296</v>
      </c>
    </row>
    <row r="151" spans="1:36" s="258" customFormat="1" ht="20.100000000000001" customHeight="1">
      <c r="A151" s="718">
        <v>46281</v>
      </c>
      <c r="B151" s="729" t="s">
        <v>1297</v>
      </c>
      <c r="C151" s="729" t="s">
        <v>1298</v>
      </c>
      <c r="D151" s="732" t="s">
        <v>1299</v>
      </c>
      <c r="E151" s="729">
        <v>13686336</v>
      </c>
      <c r="F151" s="729" t="s">
        <v>184</v>
      </c>
      <c r="G151" s="729">
        <v>1</v>
      </c>
      <c r="H151" s="729"/>
      <c r="I151" s="729">
        <v>1</v>
      </c>
      <c r="J151" s="729"/>
      <c r="K151" s="894" t="s">
        <v>92</v>
      </c>
      <c r="L151" s="729">
        <v>103727</v>
      </c>
      <c r="M151" s="729" t="s">
        <v>1300</v>
      </c>
      <c r="N151" s="729" t="s">
        <v>1301</v>
      </c>
      <c r="O151" s="730" t="s">
        <v>1302</v>
      </c>
      <c r="P151" s="729">
        <v>1</v>
      </c>
      <c r="Q151" s="731">
        <v>159500000</v>
      </c>
      <c r="R151" s="855">
        <f t="shared" si="19"/>
        <v>0</v>
      </c>
      <c r="S151" s="731">
        <f>Q151</f>
        <v>159500000</v>
      </c>
      <c r="T151" s="729"/>
      <c r="U151" s="731"/>
      <c r="V151" s="755"/>
      <c r="W151" s="731">
        <f>S151</f>
        <v>159500000</v>
      </c>
      <c r="X151" s="729"/>
      <c r="Y151" s="729"/>
      <c r="Z151" s="729" t="s">
        <v>806</v>
      </c>
      <c r="AA151" s="729" t="s">
        <v>1183</v>
      </c>
      <c r="AB151" s="247">
        <f>W151*1.3%</f>
        <v>2073500.0000000002</v>
      </c>
      <c r="AC151" s="247">
        <f t="shared" si="18"/>
        <v>143693693.69369367</v>
      </c>
      <c r="AD151" s="763"/>
      <c r="AE151" s="764" t="s">
        <v>786</v>
      </c>
      <c r="AF151" s="729" t="s">
        <v>786</v>
      </c>
      <c r="AG151" s="729" t="s">
        <v>786</v>
      </c>
      <c r="AH151" s="753">
        <v>807572</v>
      </c>
      <c r="AI151" s="753">
        <v>806422</v>
      </c>
      <c r="AJ151" s="754"/>
    </row>
    <row r="152" spans="1:36" s="258" customFormat="1" ht="20.100000000000001" customHeight="1">
      <c r="A152" s="751"/>
      <c r="B152" s="729"/>
      <c r="C152" s="729"/>
      <c r="D152" s="732"/>
      <c r="E152" s="729"/>
      <c r="F152" s="729"/>
      <c r="G152" s="729"/>
      <c r="H152" s="729"/>
      <c r="I152" s="729"/>
      <c r="J152" s="729"/>
      <c r="K152" s="729"/>
      <c r="L152" s="729"/>
      <c r="M152" s="729"/>
      <c r="N152" s="729"/>
      <c r="O152" s="730"/>
      <c r="P152" s="729"/>
      <c r="Q152" s="731"/>
      <c r="R152" s="855" t="e">
        <f t="shared" si="19"/>
        <v>#DIV/0!</v>
      </c>
      <c r="S152" s="731"/>
      <c r="T152" s="729"/>
      <c r="U152" s="731"/>
      <c r="V152" s="755"/>
      <c r="W152" s="731"/>
      <c r="X152" s="729"/>
      <c r="Y152" s="729"/>
      <c r="Z152" s="729"/>
      <c r="AA152" s="729"/>
      <c r="AB152" s="247">
        <f t="shared" si="15"/>
        <v>0</v>
      </c>
      <c r="AC152" s="247">
        <f t="shared" si="18"/>
        <v>0</v>
      </c>
      <c r="AD152" s="763"/>
      <c r="AE152" s="764"/>
      <c r="AF152" s="729"/>
      <c r="AG152" s="729"/>
      <c r="AH152" s="729">
        <v>806857</v>
      </c>
      <c r="AI152" s="753"/>
      <c r="AJ152" s="729"/>
    </row>
    <row r="153" spans="1:36" s="258" customFormat="1" ht="20.100000000000001" customHeight="1">
      <c r="A153" s="751"/>
      <c r="B153" s="729"/>
      <c r="C153" s="729"/>
      <c r="D153" s="732"/>
      <c r="E153" s="729"/>
      <c r="F153" s="721"/>
      <c r="G153" s="729"/>
      <c r="H153" s="729"/>
      <c r="I153" s="729"/>
      <c r="J153" s="729"/>
      <c r="K153" s="729"/>
      <c r="L153" s="729"/>
      <c r="M153" s="729"/>
      <c r="N153" s="729"/>
      <c r="O153" s="730"/>
      <c r="P153" s="729"/>
      <c r="Q153" s="731"/>
      <c r="R153" s="855" t="e">
        <f t="shared" si="19"/>
        <v>#DIV/0!</v>
      </c>
      <c r="S153" s="731"/>
      <c r="T153" s="729"/>
      <c r="U153" s="731"/>
      <c r="V153" s="755"/>
      <c r="W153" s="731"/>
      <c r="X153" s="729"/>
      <c r="Y153" s="729"/>
      <c r="Z153" s="729"/>
      <c r="AA153" s="729"/>
      <c r="AB153" s="247">
        <f t="shared" si="15"/>
        <v>0</v>
      </c>
      <c r="AC153" s="247">
        <f t="shared" si="18"/>
        <v>0</v>
      </c>
      <c r="AD153" s="763"/>
      <c r="AE153" s="764"/>
      <c r="AF153" s="729"/>
      <c r="AG153" s="729"/>
      <c r="AH153" s="729">
        <v>807617</v>
      </c>
      <c r="AI153" s="753"/>
      <c r="AJ153" s="754"/>
    </row>
    <row r="154" spans="1:36" s="258" customFormat="1" ht="20.100000000000001" customHeight="1">
      <c r="A154" s="751"/>
      <c r="B154" s="729"/>
      <c r="C154" s="729"/>
      <c r="D154" s="732"/>
      <c r="E154" s="729"/>
      <c r="F154" s="729"/>
      <c r="G154" s="729"/>
      <c r="H154" s="729"/>
      <c r="I154" s="729"/>
      <c r="J154" s="729"/>
      <c r="K154" s="737"/>
      <c r="L154" s="729"/>
      <c r="M154" s="729"/>
      <c r="N154" s="729"/>
      <c r="O154" s="730"/>
      <c r="P154" s="729"/>
      <c r="Q154" s="731"/>
      <c r="R154" s="855" t="e">
        <f t="shared" si="19"/>
        <v>#DIV/0!</v>
      </c>
      <c r="S154" s="731"/>
      <c r="T154" s="729"/>
      <c r="U154" s="731"/>
      <c r="V154" s="755"/>
      <c r="W154" s="731"/>
      <c r="X154" s="729"/>
      <c r="Y154" s="729"/>
      <c r="Z154" s="729"/>
      <c r="AA154" s="729"/>
      <c r="AB154" s="247">
        <f>W154*0.15%</f>
        <v>0</v>
      </c>
      <c r="AC154" s="247">
        <f t="shared" si="18"/>
        <v>0</v>
      </c>
      <c r="AD154" s="763"/>
      <c r="AE154" s="764"/>
      <c r="AF154" s="729"/>
      <c r="AG154" s="729"/>
      <c r="AH154" s="729">
        <v>807853</v>
      </c>
      <c r="AI154" s="753"/>
      <c r="AJ154" s="728"/>
    </row>
    <row r="155" spans="1:36" s="258" customFormat="1" ht="20.100000000000001" customHeight="1">
      <c r="A155" s="718"/>
      <c r="B155" s="729" t="s">
        <v>1303</v>
      </c>
      <c r="C155" s="729" t="s">
        <v>1304</v>
      </c>
      <c r="D155" s="732" t="s">
        <v>1305</v>
      </c>
      <c r="E155" s="729">
        <v>13687693</v>
      </c>
      <c r="F155" s="721" t="s">
        <v>302</v>
      </c>
      <c r="G155" s="729">
        <v>1</v>
      </c>
      <c r="H155" s="729"/>
      <c r="I155" s="729">
        <v>1</v>
      </c>
      <c r="J155" s="729"/>
      <c r="K155" s="894" t="s">
        <v>92</v>
      </c>
      <c r="L155" s="729">
        <v>103757</v>
      </c>
      <c r="M155" s="729" t="s">
        <v>1306</v>
      </c>
      <c r="N155" s="729" t="s">
        <v>1307</v>
      </c>
      <c r="O155" s="730" t="s">
        <v>1308</v>
      </c>
      <c r="P155" s="729">
        <v>1</v>
      </c>
      <c r="Q155" s="731">
        <v>144500000</v>
      </c>
      <c r="R155" s="855">
        <f t="shared" si="19"/>
        <v>0</v>
      </c>
      <c r="S155" s="731">
        <f>Q155</f>
        <v>144500000</v>
      </c>
      <c r="T155" s="729"/>
      <c r="U155" s="731"/>
      <c r="V155" s="755"/>
      <c r="W155" s="731">
        <f>S155</f>
        <v>144500000</v>
      </c>
      <c r="X155" s="729"/>
      <c r="Y155" s="729"/>
      <c r="Z155" s="729" t="s">
        <v>1134</v>
      </c>
      <c r="AA155" s="729" t="s">
        <v>1309</v>
      </c>
      <c r="AB155" s="247">
        <f>W155*1.75%</f>
        <v>2528750.0000000005</v>
      </c>
      <c r="AC155" s="247">
        <f t="shared" si="18"/>
        <v>130180180.18018016</v>
      </c>
      <c r="AD155" s="763"/>
      <c r="AE155" s="764" t="s">
        <v>781</v>
      </c>
      <c r="AF155" s="729" t="s">
        <v>781</v>
      </c>
      <c r="AG155" s="729" t="s">
        <v>781</v>
      </c>
      <c r="AH155" s="729">
        <v>807572</v>
      </c>
      <c r="AI155" s="753">
        <v>806422</v>
      </c>
      <c r="AJ155" s="760" t="s">
        <v>1318</v>
      </c>
    </row>
    <row r="156" spans="1:36" s="258" customFormat="1" ht="20.100000000000001" customHeight="1">
      <c r="A156" s="751"/>
      <c r="B156" s="729"/>
      <c r="C156" s="729"/>
      <c r="D156" s="732"/>
      <c r="E156" s="729"/>
      <c r="F156" s="729"/>
      <c r="G156" s="729"/>
      <c r="H156" s="729"/>
      <c r="I156" s="729"/>
      <c r="J156" s="729"/>
      <c r="K156" s="729"/>
      <c r="L156" s="729"/>
      <c r="M156" s="729"/>
      <c r="N156" s="729"/>
      <c r="O156" s="730"/>
      <c r="P156" s="729"/>
      <c r="Q156" s="731"/>
      <c r="R156" s="855" t="e">
        <f t="shared" si="19"/>
        <v>#DIV/0!</v>
      </c>
      <c r="S156" s="731"/>
      <c r="T156" s="729"/>
      <c r="U156" s="731"/>
      <c r="V156" s="755"/>
      <c r="W156" s="731"/>
      <c r="X156" s="729"/>
      <c r="Y156" s="729"/>
      <c r="Z156" s="729"/>
      <c r="AA156" s="729"/>
      <c r="AB156" s="247">
        <f t="shared" si="15"/>
        <v>0</v>
      </c>
      <c r="AC156" s="247">
        <f t="shared" si="18"/>
        <v>0</v>
      </c>
      <c r="AD156" s="763"/>
      <c r="AE156" s="764"/>
      <c r="AF156" s="729"/>
      <c r="AG156" s="729"/>
      <c r="AH156" s="729">
        <v>806857</v>
      </c>
      <c r="AI156" s="753"/>
      <c r="AJ156" s="729"/>
    </row>
    <row r="157" spans="1:36" s="258" customFormat="1" ht="20.100000000000001" customHeight="1">
      <c r="A157" s="751"/>
      <c r="B157" s="729"/>
      <c r="C157" s="729"/>
      <c r="D157" s="732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30"/>
      <c r="P157" s="729"/>
      <c r="Q157" s="731"/>
      <c r="R157" s="855" t="e">
        <f t="shared" si="19"/>
        <v>#DIV/0!</v>
      </c>
      <c r="S157" s="731"/>
      <c r="T157" s="729"/>
      <c r="U157" s="731"/>
      <c r="V157" s="755"/>
      <c r="W157" s="731"/>
      <c r="X157" s="729"/>
      <c r="Y157" s="729"/>
      <c r="Z157" s="729"/>
      <c r="AA157" s="729"/>
      <c r="AB157" s="247">
        <f t="shared" si="15"/>
        <v>0</v>
      </c>
      <c r="AC157" s="247">
        <f t="shared" si="18"/>
        <v>0</v>
      </c>
      <c r="AD157" s="763"/>
      <c r="AE157" s="764"/>
      <c r="AF157" s="729"/>
      <c r="AG157" s="729"/>
      <c r="AH157" s="729">
        <v>807617</v>
      </c>
      <c r="AI157" s="753"/>
      <c r="AJ157" s="729"/>
    </row>
    <row r="158" spans="1:36" s="258" customFormat="1" ht="20.100000000000001" customHeight="1">
      <c r="A158" s="718"/>
      <c r="B158" s="729"/>
      <c r="C158" s="729"/>
      <c r="D158" s="732"/>
      <c r="E158" s="729"/>
      <c r="F158" s="721"/>
      <c r="G158" s="729"/>
      <c r="H158" s="729"/>
      <c r="I158" s="729"/>
      <c r="J158" s="729"/>
      <c r="K158" s="737"/>
      <c r="L158" s="729"/>
      <c r="M158" s="729"/>
      <c r="N158" s="729"/>
      <c r="O158" s="730"/>
      <c r="P158" s="729"/>
      <c r="Q158" s="731"/>
      <c r="R158" s="855" t="e">
        <f t="shared" si="19"/>
        <v>#DIV/0!</v>
      </c>
      <c r="S158" s="731"/>
      <c r="T158" s="729"/>
      <c r="U158" s="731"/>
      <c r="V158" s="731"/>
      <c r="W158" s="731"/>
      <c r="X158" s="729"/>
      <c r="Y158" s="729"/>
      <c r="Z158" s="729"/>
      <c r="AA158" s="729"/>
      <c r="AB158" s="247">
        <f t="shared" ref="AB158:AB160" si="20">W158*1.5%</f>
        <v>0</v>
      </c>
      <c r="AC158" s="247">
        <f t="shared" ref="AC158:AC160" si="21">(S158/1.11)</f>
        <v>0</v>
      </c>
      <c r="AD158" s="763"/>
      <c r="AE158" s="764"/>
      <c r="AF158" s="729"/>
      <c r="AG158" s="729"/>
      <c r="AH158" s="729">
        <v>807853</v>
      </c>
      <c r="AI158" s="753"/>
      <c r="AJ158" s="729"/>
    </row>
    <row r="159" spans="1:36" s="258" customFormat="1" ht="20.100000000000001" customHeight="1">
      <c r="A159" s="751"/>
      <c r="B159" s="729" t="s">
        <v>1319</v>
      </c>
      <c r="C159" s="729" t="s">
        <v>1320</v>
      </c>
      <c r="D159" s="732" t="s">
        <v>1321</v>
      </c>
      <c r="E159" s="729">
        <v>13550220</v>
      </c>
      <c r="F159" s="721" t="s">
        <v>302</v>
      </c>
      <c r="G159" s="729"/>
      <c r="H159" s="729">
        <v>1</v>
      </c>
      <c r="I159" s="729"/>
      <c r="J159" s="729">
        <v>1</v>
      </c>
      <c r="K159" s="729" t="s">
        <v>89</v>
      </c>
      <c r="L159" s="729">
        <v>361439</v>
      </c>
      <c r="M159" s="729" t="s">
        <v>1322</v>
      </c>
      <c r="N159" s="729" t="s">
        <v>1323</v>
      </c>
      <c r="O159" s="730" t="s">
        <v>1324</v>
      </c>
      <c r="P159" s="729">
        <v>1</v>
      </c>
      <c r="Q159" s="731">
        <v>58700000</v>
      </c>
      <c r="R159" s="855">
        <f t="shared" si="19"/>
        <v>0</v>
      </c>
      <c r="S159" s="731">
        <f>Q159</f>
        <v>58700000</v>
      </c>
      <c r="T159" s="729"/>
      <c r="U159" s="731"/>
      <c r="V159" s="755"/>
      <c r="W159" s="731">
        <f>S159</f>
        <v>58700000</v>
      </c>
      <c r="X159" s="729"/>
      <c r="Y159" s="729"/>
      <c r="Z159" s="729" t="s">
        <v>806</v>
      </c>
      <c r="AA159" s="729" t="s">
        <v>977</v>
      </c>
      <c r="AB159" s="247">
        <f>W159*0.15%</f>
        <v>88050</v>
      </c>
      <c r="AC159" s="247">
        <f t="shared" si="21"/>
        <v>52882882.882882878</v>
      </c>
      <c r="AD159" s="763"/>
      <c r="AE159" s="764" t="s">
        <v>1317</v>
      </c>
      <c r="AF159" s="729" t="s">
        <v>1317</v>
      </c>
      <c r="AG159" s="729" t="s">
        <v>1317</v>
      </c>
      <c r="AH159" s="729">
        <v>807568</v>
      </c>
      <c r="AI159" s="753">
        <v>806422</v>
      </c>
      <c r="AJ159" s="760" t="s">
        <v>1318</v>
      </c>
    </row>
    <row r="160" spans="1:36" s="258" customFormat="1" ht="20.100000000000001" customHeight="1">
      <c r="A160" s="751"/>
      <c r="B160" s="729"/>
      <c r="C160" s="729"/>
      <c r="D160" s="732"/>
      <c r="E160" s="729"/>
      <c r="F160" s="729"/>
      <c r="G160" s="729"/>
      <c r="H160" s="729"/>
      <c r="I160" s="729"/>
      <c r="J160" s="729"/>
      <c r="K160" s="729"/>
      <c r="L160" s="729"/>
      <c r="M160" s="729"/>
      <c r="N160" s="729"/>
      <c r="O160" s="730"/>
      <c r="P160" s="729"/>
      <c r="Q160" s="731"/>
      <c r="R160" s="855" t="e">
        <f t="shared" si="19"/>
        <v>#DIV/0!</v>
      </c>
      <c r="S160" s="731"/>
      <c r="T160" s="729"/>
      <c r="U160" s="731"/>
      <c r="V160" s="755"/>
      <c r="W160" s="731"/>
      <c r="X160" s="729"/>
      <c r="Y160" s="729"/>
      <c r="Z160" s="729"/>
      <c r="AA160" s="729"/>
      <c r="AB160" s="247">
        <f t="shared" si="20"/>
        <v>0</v>
      </c>
      <c r="AC160" s="247">
        <f t="shared" si="21"/>
        <v>0</v>
      </c>
      <c r="AD160" s="763"/>
      <c r="AE160" s="764"/>
      <c r="AF160" s="729"/>
      <c r="AG160" s="729"/>
      <c r="AH160" s="729">
        <v>806856</v>
      </c>
      <c r="AI160" s="753"/>
      <c r="AJ160" s="729"/>
    </row>
    <row r="161" spans="1:36" s="258" customFormat="1" ht="20.100000000000001" customHeight="1">
      <c r="A161" s="718"/>
      <c r="B161" s="729"/>
      <c r="C161" s="729"/>
      <c r="D161" s="732"/>
      <c r="E161" s="729"/>
      <c r="F161" s="721"/>
      <c r="G161" s="729"/>
      <c r="H161" s="729"/>
      <c r="I161" s="729"/>
      <c r="J161" s="729"/>
      <c r="K161" s="737"/>
      <c r="L161" s="729"/>
      <c r="M161" s="729"/>
      <c r="N161" s="729"/>
      <c r="O161" s="730"/>
      <c r="P161" s="729"/>
      <c r="Q161" s="731"/>
      <c r="R161" s="855" t="e">
        <f t="shared" si="19"/>
        <v>#DIV/0!</v>
      </c>
      <c r="S161" s="731"/>
      <c r="T161" s="754"/>
      <c r="U161" s="731"/>
      <c r="V161" s="755"/>
      <c r="W161" s="731"/>
      <c r="X161" s="729"/>
      <c r="Y161" s="729"/>
      <c r="Z161" s="729"/>
      <c r="AA161" s="729"/>
      <c r="AB161" s="247">
        <f>W161*0.15%</f>
        <v>0</v>
      </c>
      <c r="AC161" s="247">
        <f t="shared" ref="AC161:AC167" si="22">(S161/1.11)</f>
        <v>0</v>
      </c>
      <c r="AD161" s="763">
        <f>SUM(AC151:AC161)</f>
        <v>326756756.75675672</v>
      </c>
      <c r="AE161" s="764"/>
      <c r="AF161" s="729"/>
      <c r="AG161" s="729"/>
      <c r="AH161" s="729">
        <v>807617</v>
      </c>
      <c r="AI161" s="753"/>
      <c r="AJ161" s="754"/>
    </row>
    <row r="162" spans="1:36" s="258" customFormat="1" ht="20.100000000000001" customHeight="1">
      <c r="A162" s="718">
        <v>46282</v>
      </c>
      <c r="B162" s="729" t="s">
        <v>1327</v>
      </c>
      <c r="C162" s="729" t="s">
        <v>1328</v>
      </c>
      <c r="D162" s="732" t="s">
        <v>1329</v>
      </c>
      <c r="E162" s="729">
        <v>13690676</v>
      </c>
      <c r="F162" s="721" t="s">
        <v>302</v>
      </c>
      <c r="G162" s="729">
        <v>1</v>
      </c>
      <c r="H162" s="729"/>
      <c r="I162" s="729">
        <v>1</v>
      </c>
      <c r="J162" s="729"/>
      <c r="K162" s="729" t="s">
        <v>89</v>
      </c>
      <c r="L162" s="729">
        <v>354732</v>
      </c>
      <c r="M162" s="729" t="s">
        <v>1332</v>
      </c>
      <c r="N162" s="729" t="s">
        <v>1330</v>
      </c>
      <c r="O162" s="730" t="s">
        <v>1333</v>
      </c>
      <c r="P162" s="729">
        <v>1</v>
      </c>
      <c r="Q162" s="731">
        <v>20800000</v>
      </c>
      <c r="R162" s="855">
        <f t="shared" si="19"/>
        <v>0</v>
      </c>
      <c r="S162" s="731">
        <f>Q162</f>
        <v>20800000</v>
      </c>
      <c r="T162" s="729"/>
      <c r="U162" s="731"/>
      <c r="V162" s="755">
        <f>S162+S163</f>
        <v>41600000</v>
      </c>
      <c r="W162" s="731"/>
      <c r="X162" s="729"/>
      <c r="Y162" s="729" t="s">
        <v>806</v>
      </c>
      <c r="Z162" s="729"/>
      <c r="AA162" s="729"/>
      <c r="AB162" s="247">
        <f t="shared" si="15"/>
        <v>0</v>
      </c>
      <c r="AC162" s="247">
        <f t="shared" si="22"/>
        <v>18738738.738738738</v>
      </c>
      <c r="AD162" s="763"/>
      <c r="AE162" s="764" t="s">
        <v>796</v>
      </c>
      <c r="AF162" s="729" t="s">
        <v>796</v>
      </c>
      <c r="AG162" s="729" t="s">
        <v>796</v>
      </c>
      <c r="AH162" s="729">
        <v>807570</v>
      </c>
      <c r="AI162" s="753">
        <v>806422</v>
      </c>
      <c r="AJ162" s="754" t="s">
        <v>1334</v>
      </c>
    </row>
    <row r="163" spans="1:36" s="258" customFormat="1" ht="20.100000000000001" customHeight="1">
      <c r="A163" s="751"/>
      <c r="B163" s="729"/>
      <c r="C163" s="729"/>
      <c r="D163" s="732"/>
      <c r="E163" s="729"/>
      <c r="F163" s="729"/>
      <c r="G163" s="729"/>
      <c r="H163" s="729"/>
      <c r="I163" s="729"/>
      <c r="J163" s="729"/>
      <c r="K163" s="729" t="s">
        <v>89</v>
      </c>
      <c r="L163" s="729">
        <v>354732</v>
      </c>
      <c r="M163" s="729" t="s">
        <v>1332</v>
      </c>
      <c r="N163" s="729" t="s">
        <v>1331</v>
      </c>
      <c r="O163" s="730" t="s">
        <v>1333</v>
      </c>
      <c r="P163" s="729">
        <v>1</v>
      </c>
      <c r="Q163" s="731">
        <v>20800000</v>
      </c>
      <c r="R163" s="855">
        <f t="shared" si="19"/>
        <v>0</v>
      </c>
      <c r="S163" s="731">
        <f>Q163</f>
        <v>20800000</v>
      </c>
      <c r="T163" s="729"/>
      <c r="U163" s="731"/>
      <c r="V163" s="755"/>
      <c r="W163" s="731"/>
      <c r="X163" s="729"/>
      <c r="Y163" s="729"/>
      <c r="Z163" s="729"/>
      <c r="AA163" s="729"/>
      <c r="AB163" s="247">
        <f t="shared" si="15"/>
        <v>0</v>
      </c>
      <c r="AC163" s="247">
        <f t="shared" si="22"/>
        <v>18738738.738738738</v>
      </c>
      <c r="AD163" s="763"/>
      <c r="AE163" s="764"/>
      <c r="AF163" s="729"/>
      <c r="AG163" s="729"/>
      <c r="AH163" s="729">
        <v>806856</v>
      </c>
      <c r="AI163" s="753">
        <v>806422</v>
      </c>
      <c r="AJ163" s="754"/>
    </row>
    <row r="164" spans="1:36" s="258" customFormat="1" ht="20.100000000000001" customHeight="1">
      <c r="A164" s="718"/>
      <c r="B164" s="884" t="s">
        <v>1335</v>
      </c>
      <c r="C164" s="884" t="s">
        <v>1295</v>
      </c>
      <c r="D164" s="732"/>
      <c r="E164" s="729"/>
      <c r="F164" s="729"/>
      <c r="G164" s="729"/>
      <c r="H164" s="729"/>
      <c r="I164" s="729"/>
      <c r="J164" s="729"/>
      <c r="K164" s="737"/>
      <c r="L164" s="729"/>
      <c r="M164" s="729"/>
      <c r="N164" s="729"/>
      <c r="O164" s="730"/>
      <c r="P164" s="729"/>
      <c r="Q164" s="731"/>
      <c r="R164" s="855" t="e">
        <f t="shared" si="19"/>
        <v>#DIV/0!</v>
      </c>
      <c r="S164" s="731"/>
      <c r="T164" s="729"/>
      <c r="U164" s="731"/>
      <c r="V164" s="755"/>
      <c r="W164" s="731"/>
      <c r="X164" s="729"/>
      <c r="Y164" s="729"/>
      <c r="Z164" s="729"/>
      <c r="AA164" s="729"/>
      <c r="AB164" s="247">
        <f t="shared" si="15"/>
        <v>0</v>
      </c>
      <c r="AC164" s="247">
        <f t="shared" si="22"/>
        <v>0</v>
      </c>
      <c r="AD164" s="763"/>
      <c r="AE164" s="764"/>
      <c r="AF164" s="729"/>
      <c r="AG164" s="729"/>
      <c r="AH164" s="729">
        <v>807617</v>
      </c>
      <c r="AI164" s="753"/>
      <c r="AJ164" s="884" t="s">
        <v>1296</v>
      </c>
    </row>
    <row r="165" spans="1:36" s="258" customFormat="1" ht="20.100000000000001" customHeight="1">
      <c r="A165" s="751"/>
      <c r="B165" s="729" t="s">
        <v>1336</v>
      </c>
      <c r="C165" s="729" t="s">
        <v>1337</v>
      </c>
      <c r="D165" s="732" t="s">
        <v>1338</v>
      </c>
      <c r="E165" s="729">
        <v>13690487</v>
      </c>
      <c r="F165" s="721" t="s">
        <v>302</v>
      </c>
      <c r="G165" s="729">
        <v>1</v>
      </c>
      <c r="H165" s="729"/>
      <c r="I165" s="729">
        <v>1</v>
      </c>
      <c r="J165" s="729"/>
      <c r="K165" s="729" t="s">
        <v>89</v>
      </c>
      <c r="L165" s="729">
        <v>360710</v>
      </c>
      <c r="M165" s="729" t="s">
        <v>1339</v>
      </c>
      <c r="N165" s="729" t="s">
        <v>1340</v>
      </c>
      <c r="O165" s="730" t="s">
        <v>1341</v>
      </c>
      <c r="P165" s="729">
        <v>1</v>
      </c>
      <c r="Q165" s="731">
        <v>262500000</v>
      </c>
      <c r="R165" s="855">
        <f t="shared" si="19"/>
        <v>0</v>
      </c>
      <c r="S165" s="731">
        <f>Q165</f>
        <v>262500000</v>
      </c>
      <c r="T165" s="754"/>
      <c r="U165" s="731"/>
      <c r="V165" s="755"/>
      <c r="W165" s="731">
        <v>112500000</v>
      </c>
      <c r="X165" s="729"/>
      <c r="Y165" s="729"/>
      <c r="Z165" s="729" t="s">
        <v>806</v>
      </c>
      <c r="AA165" s="729" t="s">
        <v>999</v>
      </c>
      <c r="AB165" s="247">
        <f>W165*0.15%</f>
        <v>168750</v>
      </c>
      <c r="AC165" s="247">
        <f t="shared" si="22"/>
        <v>236486486.48648646</v>
      </c>
      <c r="AD165" s="763">
        <f>SUM(AC162:AC165)</f>
        <v>273963963.96396393</v>
      </c>
      <c r="AE165" s="764" t="s">
        <v>768</v>
      </c>
      <c r="AF165" s="729" t="s">
        <v>768</v>
      </c>
      <c r="AG165" s="729" t="s">
        <v>768</v>
      </c>
      <c r="AH165" s="729">
        <v>806857</v>
      </c>
      <c r="AI165" s="753">
        <v>806422</v>
      </c>
      <c r="AJ165" s="754" t="s">
        <v>1342</v>
      </c>
    </row>
    <row r="166" spans="1:36" s="258" customFormat="1" ht="20.100000000000001" customHeight="1">
      <c r="A166" s="751"/>
      <c r="B166" s="729"/>
      <c r="C166" s="729"/>
      <c r="D166" s="732"/>
      <c r="E166" s="729"/>
      <c r="F166" s="729"/>
      <c r="G166" s="729"/>
      <c r="H166" s="729"/>
      <c r="I166" s="729"/>
      <c r="J166" s="729"/>
      <c r="K166" s="729"/>
      <c r="L166" s="729"/>
      <c r="M166" s="729"/>
      <c r="N166" s="729"/>
      <c r="O166" s="730"/>
      <c r="P166" s="729"/>
      <c r="Q166" s="731"/>
      <c r="R166" s="855" t="e">
        <f t="shared" si="19"/>
        <v>#DIV/0!</v>
      </c>
      <c r="S166" s="731"/>
      <c r="T166" s="729"/>
      <c r="U166" s="731"/>
      <c r="V166" s="731">
        <v>150000000</v>
      </c>
      <c r="W166" s="731"/>
      <c r="X166" s="729"/>
      <c r="Y166" s="729" t="s">
        <v>917</v>
      </c>
      <c r="Z166" s="729"/>
      <c r="AA166" s="729"/>
      <c r="AB166" s="247">
        <f t="shared" si="15"/>
        <v>0</v>
      </c>
      <c r="AC166" s="247">
        <f t="shared" si="22"/>
        <v>0</v>
      </c>
      <c r="AD166" s="763"/>
      <c r="AE166" s="764"/>
      <c r="AF166" s="729"/>
      <c r="AG166" s="729"/>
      <c r="AH166" s="729">
        <v>807617</v>
      </c>
      <c r="AI166" s="753"/>
      <c r="AJ166" s="729"/>
    </row>
    <row r="167" spans="1:36" s="258" customFormat="1" ht="20.100000000000001" customHeight="1">
      <c r="A167" s="751"/>
      <c r="B167" s="729"/>
      <c r="C167" s="729"/>
      <c r="D167" s="732"/>
      <c r="E167" s="729"/>
      <c r="F167" s="729"/>
      <c r="G167" s="729"/>
      <c r="H167" s="729"/>
      <c r="I167" s="729"/>
      <c r="J167" s="729"/>
      <c r="K167" s="729"/>
      <c r="L167" s="729"/>
      <c r="M167" s="729"/>
      <c r="N167" s="729"/>
      <c r="O167" s="730"/>
      <c r="P167" s="729"/>
      <c r="Q167" s="731"/>
      <c r="R167" s="855" t="e">
        <f t="shared" si="19"/>
        <v>#DIV/0!</v>
      </c>
      <c r="S167" s="731"/>
      <c r="T167" s="729"/>
      <c r="U167" s="731"/>
      <c r="V167" s="755"/>
      <c r="W167" s="731"/>
      <c r="X167" s="729"/>
      <c r="Y167" s="729"/>
      <c r="Z167" s="729"/>
      <c r="AA167" s="729"/>
      <c r="AB167" s="247">
        <f t="shared" si="15"/>
        <v>0</v>
      </c>
      <c r="AC167" s="247">
        <f t="shared" si="22"/>
        <v>0</v>
      </c>
      <c r="AD167" s="763"/>
      <c r="AE167" s="764"/>
      <c r="AF167" s="729"/>
      <c r="AG167" s="729"/>
      <c r="AH167" s="729">
        <v>807568</v>
      </c>
      <c r="AI167" s="753"/>
      <c r="AJ167" s="729"/>
    </row>
    <row r="168" spans="1:36" s="258" customFormat="1" ht="20.100000000000001" customHeight="1">
      <c r="A168" s="718">
        <v>46283</v>
      </c>
      <c r="B168" s="746" t="s">
        <v>1351</v>
      </c>
      <c r="C168" s="746" t="s">
        <v>1352</v>
      </c>
      <c r="D168" s="747" t="s">
        <v>1353</v>
      </c>
      <c r="E168" s="725">
        <v>13180541</v>
      </c>
      <c r="F168" s="721" t="s">
        <v>302</v>
      </c>
      <c r="G168" s="746"/>
      <c r="H168" s="746">
        <v>1</v>
      </c>
      <c r="I168" s="746"/>
      <c r="J168" s="746">
        <v>1</v>
      </c>
      <c r="K168" s="729" t="s">
        <v>89</v>
      </c>
      <c r="L168" s="746">
        <v>357795</v>
      </c>
      <c r="M168" s="746" t="s">
        <v>1354</v>
      </c>
      <c r="N168" s="746" t="s">
        <v>1355</v>
      </c>
      <c r="O168" s="749" t="s">
        <v>1356</v>
      </c>
      <c r="P168" s="746">
        <v>1</v>
      </c>
      <c r="Q168" s="750">
        <v>206000000</v>
      </c>
      <c r="R168" s="855">
        <f t="shared" si="19"/>
        <v>0</v>
      </c>
      <c r="S168" s="750">
        <f>Q168</f>
        <v>206000000</v>
      </c>
      <c r="T168" s="746"/>
      <c r="U168" s="750"/>
      <c r="V168" s="750"/>
      <c r="W168" s="750">
        <f>S168</f>
        <v>206000000</v>
      </c>
      <c r="X168" s="746"/>
      <c r="Y168" s="746"/>
      <c r="Z168" s="746" t="s">
        <v>917</v>
      </c>
      <c r="AA168" s="746" t="s">
        <v>933</v>
      </c>
      <c r="AB168" s="247">
        <f>W168*0.15%</f>
        <v>309000</v>
      </c>
      <c r="AC168" s="247">
        <f t="shared" ref="AC168:AC177" si="23">(S168/1.11)</f>
        <v>185585585.58558556</v>
      </c>
      <c r="AD168" s="770"/>
      <c r="AE168" s="771" t="s">
        <v>781</v>
      </c>
      <c r="AF168" s="746" t="s">
        <v>781</v>
      </c>
      <c r="AG168" s="746" t="s">
        <v>781</v>
      </c>
      <c r="AH168" s="746">
        <v>807567</v>
      </c>
      <c r="AI168" s="753">
        <v>806422</v>
      </c>
      <c r="AJ168" s="746"/>
    </row>
    <row r="169" spans="1:36" s="258" customFormat="1" ht="20.100000000000001" customHeight="1">
      <c r="A169" s="745"/>
      <c r="B169" s="746"/>
      <c r="C169" s="746"/>
      <c r="D169" s="747"/>
      <c r="E169" s="746"/>
      <c r="F169" s="729"/>
      <c r="G169" s="746"/>
      <c r="H169" s="746"/>
      <c r="I169" s="746"/>
      <c r="J169" s="746"/>
      <c r="K169" s="729"/>
      <c r="L169" s="746"/>
      <c r="M169" s="746"/>
      <c r="N169" s="746"/>
      <c r="O169" s="749"/>
      <c r="P169" s="746"/>
      <c r="Q169" s="750"/>
      <c r="R169" s="855" t="e">
        <f t="shared" si="19"/>
        <v>#DIV/0!</v>
      </c>
      <c r="S169" s="750"/>
      <c r="T169" s="746"/>
      <c r="U169" s="750"/>
      <c r="V169" s="758"/>
      <c r="W169" s="750"/>
      <c r="X169" s="746"/>
      <c r="Y169" s="746"/>
      <c r="Z169" s="746"/>
      <c r="AA169" s="746"/>
      <c r="AB169" s="247">
        <f>W169*0.15%</f>
        <v>0</v>
      </c>
      <c r="AC169" s="247">
        <f t="shared" si="23"/>
        <v>0</v>
      </c>
      <c r="AD169" s="770"/>
      <c r="AE169" s="771"/>
      <c r="AF169" s="746"/>
      <c r="AG169" s="746"/>
      <c r="AH169" s="746">
        <v>807617</v>
      </c>
      <c r="AI169" s="753"/>
      <c r="AJ169" s="746"/>
    </row>
    <row r="170" spans="1:36" s="258" customFormat="1" ht="20.100000000000001" customHeight="1">
      <c r="A170" s="718"/>
      <c r="B170" s="746"/>
      <c r="C170" s="746"/>
      <c r="D170" s="747"/>
      <c r="E170" s="746"/>
      <c r="F170" s="746"/>
      <c r="G170" s="746"/>
      <c r="H170" s="746"/>
      <c r="I170" s="746"/>
      <c r="J170" s="746"/>
      <c r="K170" s="737"/>
      <c r="L170" s="746"/>
      <c r="M170" s="746"/>
      <c r="N170" s="746"/>
      <c r="O170" s="749"/>
      <c r="P170" s="746"/>
      <c r="Q170" s="750"/>
      <c r="R170" s="855" t="e">
        <f t="shared" ref="R170:R201" si="24">(Q170-S170)/Q170*100</f>
        <v>#DIV/0!</v>
      </c>
      <c r="S170" s="750"/>
      <c r="T170" s="746"/>
      <c r="U170" s="750"/>
      <c r="V170" s="758"/>
      <c r="W170" s="750"/>
      <c r="X170" s="746"/>
      <c r="Y170" s="746"/>
      <c r="Z170" s="746"/>
      <c r="AA170" s="746"/>
      <c r="AB170" s="247">
        <f>W170*1.4%</f>
        <v>0</v>
      </c>
      <c r="AC170" s="247">
        <f t="shared" si="23"/>
        <v>0</v>
      </c>
      <c r="AD170" s="770"/>
      <c r="AE170" s="771"/>
      <c r="AF170" s="746"/>
      <c r="AG170" s="746"/>
      <c r="AH170" s="746">
        <v>806856</v>
      </c>
      <c r="AI170" s="753"/>
      <c r="AJ170" s="746"/>
    </row>
    <row r="171" spans="1:36" s="258" customFormat="1" ht="20.100000000000001" customHeight="1">
      <c r="A171" s="745"/>
      <c r="B171" s="746" t="s">
        <v>1366</v>
      </c>
      <c r="C171" s="746" t="s">
        <v>1367</v>
      </c>
      <c r="D171" s="747" t="s">
        <v>1190</v>
      </c>
      <c r="E171" s="746">
        <v>13679298</v>
      </c>
      <c r="F171" s="721" t="s">
        <v>302</v>
      </c>
      <c r="G171" s="746"/>
      <c r="H171" s="746">
        <v>1</v>
      </c>
      <c r="I171" s="746"/>
      <c r="J171" s="746">
        <v>1</v>
      </c>
      <c r="K171" s="729" t="s">
        <v>89</v>
      </c>
      <c r="L171" s="746">
        <v>360467</v>
      </c>
      <c r="M171" s="746" t="s">
        <v>845</v>
      </c>
      <c r="N171" s="746" t="s">
        <v>1368</v>
      </c>
      <c r="O171" s="749" t="s">
        <v>853</v>
      </c>
      <c r="P171" s="746">
        <v>1</v>
      </c>
      <c r="Q171" s="750">
        <v>91700000</v>
      </c>
      <c r="R171" s="855">
        <f t="shared" si="24"/>
        <v>0</v>
      </c>
      <c r="S171" s="750">
        <f>Q171</f>
        <v>91700000</v>
      </c>
      <c r="T171" s="746"/>
      <c r="U171" s="750" t="s">
        <v>1188</v>
      </c>
      <c r="V171" s="758"/>
      <c r="W171" s="750"/>
      <c r="X171" s="746"/>
      <c r="Y171" s="746"/>
      <c r="Z171" s="746"/>
      <c r="AA171" s="746"/>
      <c r="AB171" s="247">
        <f>W171*0.15%</f>
        <v>0</v>
      </c>
      <c r="AC171" s="247">
        <f t="shared" si="23"/>
        <v>82612612.612612605</v>
      </c>
      <c r="AD171" s="770"/>
      <c r="AE171" s="771" t="s">
        <v>775</v>
      </c>
      <c r="AF171" s="746" t="s">
        <v>775</v>
      </c>
      <c r="AG171" s="746" t="s">
        <v>775</v>
      </c>
      <c r="AH171" s="746">
        <v>806856</v>
      </c>
      <c r="AI171" s="753">
        <v>806422</v>
      </c>
      <c r="AJ171" s="760" t="s">
        <v>1369</v>
      </c>
    </row>
    <row r="172" spans="1:36" s="258" customFormat="1" ht="20.100000000000001" customHeight="1">
      <c r="A172" s="718"/>
      <c r="B172" s="746"/>
      <c r="C172" s="746"/>
      <c r="D172" s="747"/>
      <c r="E172" s="746"/>
      <c r="F172" s="729"/>
      <c r="G172" s="746"/>
      <c r="H172" s="746"/>
      <c r="I172" s="746"/>
      <c r="J172" s="746"/>
      <c r="K172" s="737"/>
      <c r="L172" s="746"/>
      <c r="M172" s="746"/>
      <c r="N172" s="746"/>
      <c r="O172" s="749"/>
      <c r="P172" s="746"/>
      <c r="Q172" s="750"/>
      <c r="R172" s="855" t="e">
        <f t="shared" si="24"/>
        <v>#DIV/0!</v>
      </c>
      <c r="S172" s="750"/>
      <c r="T172" s="746"/>
      <c r="U172" s="750"/>
      <c r="V172" s="758"/>
      <c r="W172" s="750"/>
      <c r="X172" s="746"/>
      <c r="Y172" s="746"/>
      <c r="Z172" s="746"/>
      <c r="AA172" s="746"/>
      <c r="AB172" s="247">
        <f t="shared" ref="AB172:AB176" si="25">W172*1.3%</f>
        <v>0</v>
      </c>
      <c r="AC172" s="247">
        <f t="shared" si="23"/>
        <v>0</v>
      </c>
      <c r="AD172" s="770"/>
      <c r="AE172" s="771"/>
      <c r="AF172" s="746"/>
      <c r="AG172" s="746"/>
      <c r="AH172" s="746">
        <v>807566</v>
      </c>
      <c r="AI172" s="753"/>
      <c r="AJ172" s="760"/>
    </row>
    <row r="173" spans="1:36" s="258" customFormat="1" ht="20.100000000000001" customHeight="1">
      <c r="A173" s="718"/>
      <c r="B173" s="746"/>
      <c r="C173" s="746"/>
      <c r="D173" s="747"/>
      <c r="E173" s="746"/>
      <c r="F173" s="746"/>
      <c r="G173" s="746"/>
      <c r="H173" s="746"/>
      <c r="I173" s="746"/>
      <c r="J173" s="746"/>
      <c r="K173" s="737"/>
      <c r="L173" s="746"/>
      <c r="M173" s="746"/>
      <c r="N173" s="746"/>
      <c r="O173" s="749"/>
      <c r="P173" s="746"/>
      <c r="Q173" s="750"/>
      <c r="R173" s="855" t="e">
        <f t="shared" si="24"/>
        <v>#DIV/0!</v>
      </c>
      <c r="S173" s="750"/>
      <c r="T173" s="746"/>
      <c r="U173" s="750"/>
      <c r="V173" s="758"/>
      <c r="W173" s="750"/>
      <c r="X173" s="746"/>
      <c r="Y173" s="746"/>
      <c r="Z173" s="746"/>
      <c r="AA173" s="746"/>
      <c r="AB173" s="247">
        <f>W173*0.15%</f>
        <v>0</v>
      </c>
      <c r="AC173" s="247">
        <f t="shared" si="23"/>
        <v>0</v>
      </c>
      <c r="AD173" s="770"/>
      <c r="AE173" s="771"/>
      <c r="AF173" s="746"/>
      <c r="AG173" s="746"/>
      <c r="AH173" s="746">
        <v>807617</v>
      </c>
      <c r="AI173" s="753"/>
      <c r="AJ173" s="728"/>
    </row>
    <row r="174" spans="1:36" s="258" customFormat="1" ht="20.100000000000001" customHeight="1">
      <c r="A174" s="718"/>
      <c r="B174" s="746" t="s">
        <v>1370</v>
      </c>
      <c r="C174" s="746" t="s">
        <v>1371</v>
      </c>
      <c r="D174" s="747" t="s">
        <v>1372</v>
      </c>
      <c r="E174" s="746">
        <v>13688409</v>
      </c>
      <c r="F174" s="721" t="s">
        <v>302</v>
      </c>
      <c r="G174" s="746">
        <v>1</v>
      </c>
      <c r="H174" s="746"/>
      <c r="I174" s="746"/>
      <c r="J174" s="746">
        <v>1</v>
      </c>
      <c r="K174" s="729" t="s">
        <v>89</v>
      </c>
      <c r="L174" s="746">
        <v>357255</v>
      </c>
      <c r="M174" s="746" t="s">
        <v>914</v>
      </c>
      <c r="N174" s="746" t="s">
        <v>1373</v>
      </c>
      <c r="O174" s="749" t="s">
        <v>916</v>
      </c>
      <c r="P174" s="746">
        <v>1</v>
      </c>
      <c r="Q174" s="750">
        <v>46700000</v>
      </c>
      <c r="R174" s="855">
        <f t="shared" si="24"/>
        <v>0</v>
      </c>
      <c r="S174" s="750">
        <f>Q174</f>
        <v>46700000</v>
      </c>
      <c r="T174" s="746"/>
      <c r="U174" s="750"/>
      <c r="V174" s="758"/>
      <c r="W174" s="750">
        <f>S174</f>
        <v>46700000</v>
      </c>
      <c r="X174" s="746"/>
      <c r="Y174" s="746"/>
      <c r="Z174" s="746" t="s">
        <v>806</v>
      </c>
      <c r="AA174" s="746" t="s">
        <v>999</v>
      </c>
      <c r="AB174" s="247">
        <f>W174*0.15%</f>
        <v>70050</v>
      </c>
      <c r="AC174" s="247">
        <f t="shared" si="23"/>
        <v>42072072.072072066</v>
      </c>
      <c r="AD174" s="770"/>
      <c r="AE174" s="771" t="s">
        <v>781</v>
      </c>
      <c r="AF174" s="746" t="s">
        <v>781</v>
      </c>
      <c r="AG174" s="746" t="s">
        <v>781</v>
      </c>
      <c r="AH174" s="746">
        <v>807567</v>
      </c>
      <c r="AI174" s="753">
        <v>806422</v>
      </c>
      <c r="AJ174" s="746"/>
    </row>
    <row r="175" spans="1:36" s="258" customFormat="1" ht="20.100000000000001" customHeight="1">
      <c r="A175" s="745"/>
      <c r="B175" s="746"/>
      <c r="C175" s="746"/>
      <c r="D175" s="747"/>
      <c r="E175" s="746"/>
      <c r="F175" s="746"/>
      <c r="G175" s="746"/>
      <c r="H175" s="746"/>
      <c r="I175" s="746"/>
      <c r="J175" s="746"/>
      <c r="K175" s="746"/>
      <c r="L175" s="746"/>
      <c r="M175" s="746"/>
      <c r="N175" s="746"/>
      <c r="O175" s="749"/>
      <c r="P175" s="746"/>
      <c r="Q175" s="750"/>
      <c r="R175" s="855" t="e">
        <f t="shared" si="24"/>
        <v>#DIV/0!</v>
      </c>
      <c r="S175" s="750"/>
      <c r="T175" s="746"/>
      <c r="U175" s="750"/>
      <c r="V175" s="758"/>
      <c r="W175" s="750"/>
      <c r="X175" s="746"/>
      <c r="Y175" s="746"/>
      <c r="Z175" s="746"/>
      <c r="AA175" s="746"/>
      <c r="AB175" s="247">
        <f t="shared" si="25"/>
        <v>0</v>
      </c>
      <c r="AC175" s="247">
        <f t="shared" si="23"/>
        <v>0</v>
      </c>
      <c r="AD175" s="770"/>
      <c r="AE175" s="771"/>
      <c r="AF175" s="746"/>
      <c r="AG175" s="746"/>
      <c r="AH175" s="746">
        <v>807617</v>
      </c>
      <c r="AI175" s="772"/>
      <c r="AJ175" s="746"/>
    </row>
    <row r="176" spans="1:36" s="258" customFormat="1" ht="19.5" customHeight="1">
      <c r="A176" s="751"/>
      <c r="B176" s="746"/>
      <c r="C176" s="729"/>
      <c r="D176" s="732"/>
      <c r="E176" s="729"/>
      <c r="F176" s="746"/>
      <c r="G176" s="729"/>
      <c r="H176" s="729"/>
      <c r="I176" s="729"/>
      <c r="J176" s="729"/>
      <c r="K176" s="721"/>
      <c r="L176" s="729"/>
      <c r="M176" s="729"/>
      <c r="N176" s="729"/>
      <c r="O176" s="730"/>
      <c r="P176" s="729"/>
      <c r="Q176" s="731"/>
      <c r="R176" s="855" t="e">
        <f t="shared" si="24"/>
        <v>#DIV/0!</v>
      </c>
      <c r="S176" s="731"/>
      <c r="T176" s="729"/>
      <c r="U176" s="731"/>
      <c r="V176" s="755"/>
      <c r="W176" s="731"/>
      <c r="X176" s="729"/>
      <c r="Y176" s="746"/>
      <c r="Z176" s="729"/>
      <c r="AA176" s="729"/>
      <c r="AB176" s="247">
        <f t="shared" si="25"/>
        <v>0</v>
      </c>
      <c r="AC176" s="247">
        <f t="shared" si="23"/>
        <v>0</v>
      </c>
      <c r="AD176" s="763"/>
      <c r="AE176" s="764"/>
      <c r="AF176" s="729"/>
      <c r="AG176" s="729"/>
      <c r="AH176" s="729">
        <v>806856</v>
      </c>
      <c r="AI176" s="753"/>
      <c r="AJ176" s="729"/>
    </row>
    <row r="177" spans="1:36" s="258" customFormat="1" ht="20.100000000000001" customHeight="1">
      <c r="A177" s="751"/>
      <c r="B177" s="729" t="s">
        <v>1374</v>
      </c>
      <c r="C177" s="729" t="s">
        <v>1375</v>
      </c>
      <c r="D177" s="732" t="s">
        <v>1376</v>
      </c>
      <c r="E177" s="729"/>
      <c r="F177" s="729" t="s">
        <v>184</v>
      </c>
      <c r="G177" s="729">
        <v>1</v>
      </c>
      <c r="H177" s="729"/>
      <c r="I177" s="729">
        <v>1</v>
      </c>
      <c r="J177" s="729"/>
      <c r="K177" s="729" t="s">
        <v>89</v>
      </c>
      <c r="L177" s="746">
        <v>357795</v>
      </c>
      <c r="M177" s="746" t="s">
        <v>1354</v>
      </c>
      <c r="N177" s="729" t="s">
        <v>1377</v>
      </c>
      <c r="O177" s="730" t="s">
        <v>1356</v>
      </c>
      <c r="P177" s="729">
        <v>1</v>
      </c>
      <c r="Q177" s="731">
        <v>206000000</v>
      </c>
      <c r="R177" s="855">
        <f t="shared" si="24"/>
        <v>0</v>
      </c>
      <c r="S177" s="731">
        <f>Q177</f>
        <v>206000000</v>
      </c>
      <c r="T177" s="729"/>
      <c r="U177" s="731"/>
      <c r="V177" s="755"/>
      <c r="W177" s="731">
        <f>S177</f>
        <v>206000000</v>
      </c>
      <c r="X177" s="729"/>
      <c r="Y177" s="729"/>
      <c r="Z177" s="729" t="s">
        <v>806</v>
      </c>
      <c r="AA177" s="729" t="s">
        <v>1378</v>
      </c>
      <c r="AB177" s="247">
        <f>W177*1%</f>
        <v>2060000</v>
      </c>
      <c r="AC177" s="247">
        <f t="shared" si="23"/>
        <v>185585585.58558556</v>
      </c>
      <c r="AD177" s="763"/>
      <c r="AE177" s="764" t="s">
        <v>769</v>
      </c>
      <c r="AF177" s="729" t="s">
        <v>769</v>
      </c>
      <c r="AG177" s="729" t="s">
        <v>769</v>
      </c>
      <c r="AH177" s="729">
        <v>807567</v>
      </c>
      <c r="AI177" s="753">
        <v>806422</v>
      </c>
      <c r="AJ177" s="754" t="s">
        <v>291</v>
      </c>
    </row>
    <row r="178" spans="1:36" s="258" customFormat="1" ht="20.100000000000001" customHeight="1">
      <c r="A178" s="718"/>
      <c r="B178" s="729"/>
      <c r="C178" s="729"/>
      <c r="D178" s="732"/>
      <c r="E178" s="729"/>
      <c r="F178" s="729"/>
      <c r="G178" s="729"/>
      <c r="H178" s="729"/>
      <c r="I178" s="729"/>
      <c r="J178" s="729"/>
      <c r="K178" s="721"/>
      <c r="L178" s="729"/>
      <c r="M178" s="729"/>
      <c r="N178" s="729"/>
      <c r="O178" s="730"/>
      <c r="P178" s="729"/>
      <c r="Q178" s="731"/>
      <c r="R178" s="855" t="e">
        <f t="shared" si="24"/>
        <v>#DIV/0!</v>
      </c>
      <c r="S178" s="731"/>
      <c r="T178" s="729"/>
      <c r="U178" s="731"/>
      <c r="V178" s="755"/>
      <c r="W178" s="731"/>
      <c r="X178" s="729"/>
      <c r="Y178" s="729"/>
      <c r="Z178" s="729"/>
      <c r="AA178" s="729"/>
      <c r="AB178" s="247">
        <f t="shared" si="15"/>
        <v>0</v>
      </c>
      <c r="AC178" s="247">
        <f t="shared" ref="AC178:AC209" si="26">(S178/1.11)</f>
        <v>0</v>
      </c>
      <c r="AD178" s="763"/>
      <c r="AE178" s="764"/>
      <c r="AF178" s="729"/>
      <c r="AG178" s="729"/>
      <c r="AH178" s="729">
        <v>806856</v>
      </c>
      <c r="AI178" s="772"/>
      <c r="AJ178" s="768"/>
    </row>
    <row r="179" spans="1:36" s="258" customFormat="1" ht="20.100000000000001" customHeight="1">
      <c r="A179" s="745"/>
      <c r="B179" s="746"/>
      <c r="C179" s="746"/>
      <c r="D179" s="747"/>
      <c r="E179" s="729"/>
      <c r="F179" s="746"/>
      <c r="G179" s="746"/>
      <c r="H179" s="746"/>
      <c r="I179" s="746"/>
      <c r="J179" s="746"/>
      <c r="K179" s="729"/>
      <c r="L179" s="746"/>
      <c r="M179" s="746"/>
      <c r="N179" s="746"/>
      <c r="O179" s="749"/>
      <c r="P179" s="746"/>
      <c r="Q179" s="750"/>
      <c r="R179" s="855" t="e">
        <f t="shared" si="24"/>
        <v>#DIV/0!</v>
      </c>
      <c r="S179" s="750"/>
      <c r="T179" s="746"/>
      <c r="U179" s="750"/>
      <c r="V179" s="758"/>
      <c r="W179" s="750"/>
      <c r="X179" s="746"/>
      <c r="Y179" s="746"/>
      <c r="Z179" s="746"/>
      <c r="AA179" s="746"/>
      <c r="AB179" s="247">
        <f>W179*1.75%</f>
        <v>0</v>
      </c>
      <c r="AC179" s="247">
        <f t="shared" si="26"/>
        <v>0</v>
      </c>
      <c r="AD179" s="770">
        <f>SUM(AC168:AC179)</f>
        <v>495855855.85585582</v>
      </c>
      <c r="AE179" s="771"/>
      <c r="AF179" s="746"/>
      <c r="AG179" s="746"/>
      <c r="AH179" s="746">
        <v>807617</v>
      </c>
      <c r="AI179" s="753"/>
      <c r="AJ179" s="754"/>
    </row>
    <row r="180" spans="1:36" s="258" customFormat="1" ht="20.100000000000001" customHeight="1">
      <c r="A180" s="718">
        <v>46284</v>
      </c>
      <c r="B180" s="746" t="s">
        <v>1379</v>
      </c>
      <c r="C180" s="746" t="s">
        <v>1380</v>
      </c>
      <c r="D180" s="747" t="s">
        <v>1381</v>
      </c>
      <c r="E180" s="746"/>
      <c r="F180" s="746" t="s">
        <v>302</v>
      </c>
      <c r="G180" s="746"/>
      <c r="H180" s="746">
        <v>1</v>
      </c>
      <c r="I180" s="746"/>
      <c r="J180" s="746">
        <v>1</v>
      </c>
      <c r="K180" s="729" t="s">
        <v>89</v>
      </c>
      <c r="L180" s="746">
        <v>323529</v>
      </c>
      <c r="M180" s="746" t="s">
        <v>1382</v>
      </c>
      <c r="N180" s="746" t="s">
        <v>1383</v>
      </c>
      <c r="O180" s="749" t="s">
        <v>1384</v>
      </c>
      <c r="P180" s="746">
        <v>1</v>
      </c>
      <c r="Q180" s="750">
        <v>65500000</v>
      </c>
      <c r="R180" s="855">
        <f t="shared" si="24"/>
        <v>0</v>
      </c>
      <c r="S180" s="750">
        <v>65500000</v>
      </c>
      <c r="T180" s="746"/>
      <c r="U180" s="750"/>
      <c r="V180" s="750">
        <v>65500000</v>
      </c>
      <c r="W180" s="750"/>
      <c r="X180" s="746"/>
      <c r="Y180" s="746" t="s">
        <v>806</v>
      </c>
      <c r="Z180" s="746"/>
      <c r="AA180" s="746"/>
      <c r="AB180" s="247">
        <f>W180*0.15%</f>
        <v>0</v>
      </c>
      <c r="AC180" s="247">
        <f t="shared" si="26"/>
        <v>59009009.009009004</v>
      </c>
      <c r="AD180" s="770"/>
      <c r="AE180" s="771" t="s">
        <v>769</v>
      </c>
      <c r="AF180" s="746" t="s">
        <v>769</v>
      </c>
      <c r="AG180" s="746" t="s">
        <v>769</v>
      </c>
      <c r="AH180" s="746">
        <v>808138</v>
      </c>
      <c r="AI180" s="753">
        <v>806422</v>
      </c>
      <c r="AJ180" s="760" t="s">
        <v>863</v>
      </c>
    </row>
    <row r="181" spans="1:36" s="258" customFormat="1" ht="20.100000000000001" customHeight="1">
      <c r="A181" s="745"/>
      <c r="B181" s="746"/>
      <c r="C181" s="746"/>
      <c r="D181" s="747"/>
      <c r="E181" s="746"/>
      <c r="F181" s="746"/>
      <c r="G181" s="746"/>
      <c r="H181" s="746"/>
      <c r="I181" s="746"/>
      <c r="J181" s="746"/>
      <c r="K181" s="746"/>
      <c r="L181" s="746"/>
      <c r="M181" s="746"/>
      <c r="N181" s="746"/>
      <c r="O181" s="749"/>
      <c r="P181" s="746"/>
      <c r="Q181" s="750"/>
      <c r="R181" s="855" t="e">
        <f t="shared" si="24"/>
        <v>#DIV/0!</v>
      </c>
      <c r="S181" s="750"/>
      <c r="T181" s="746"/>
      <c r="U181" s="750"/>
      <c r="V181" s="758"/>
      <c r="W181" s="750"/>
      <c r="X181" s="746"/>
      <c r="Y181" s="746"/>
      <c r="Z181" s="746"/>
      <c r="AA181" s="746"/>
      <c r="AB181" s="247">
        <f t="shared" si="15"/>
        <v>0</v>
      </c>
      <c r="AC181" s="247">
        <f t="shared" si="26"/>
        <v>0</v>
      </c>
      <c r="AD181" s="770"/>
      <c r="AE181" s="771"/>
      <c r="AF181" s="746"/>
      <c r="AG181" s="746"/>
      <c r="AH181" s="746">
        <v>806856</v>
      </c>
      <c r="AI181" s="772"/>
      <c r="AJ181" s="746"/>
    </row>
    <row r="182" spans="1:36" s="258" customFormat="1" ht="20.100000000000001" customHeight="1">
      <c r="A182" s="745"/>
      <c r="B182" s="746"/>
      <c r="C182" s="746"/>
      <c r="D182" s="747"/>
      <c r="E182" s="746"/>
      <c r="F182" s="746"/>
      <c r="G182" s="746"/>
      <c r="H182" s="746"/>
      <c r="I182" s="746"/>
      <c r="J182" s="746"/>
      <c r="K182" s="746"/>
      <c r="L182" s="746"/>
      <c r="M182" s="746"/>
      <c r="N182" s="746"/>
      <c r="O182" s="749"/>
      <c r="P182" s="746"/>
      <c r="Q182" s="750"/>
      <c r="R182" s="855" t="e">
        <f t="shared" si="24"/>
        <v>#DIV/0!</v>
      </c>
      <c r="S182" s="750"/>
      <c r="T182" s="746"/>
      <c r="U182" s="750"/>
      <c r="V182" s="758"/>
      <c r="W182" s="750"/>
      <c r="X182" s="746"/>
      <c r="Y182" s="746"/>
      <c r="Z182" s="746"/>
      <c r="AA182" s="746"/>
      <c r="AB182" s="247">
        <f t="shared" si="15"/>
        <v>0</v>
      </c>
      <c r="AC182" s="247">
        <f t="shared" si="26"/>
        <v>0</v>
      </c>
      <c r="AD182" s="770"/>
      <c r="AE182" s="771"/>
      <c r="AF182" s="746"/>
      <c r="AG182" s="746"/>
      <c r="AH182" s="746">
        <v>807617</v>
      </c>
      <c r="AI182" s="772"/>
      <c r="AJ182" s="746"/>
    </row>
    <row r="183" spans="1:36" s="258" customFormat="1" ht="20.100000000000001" customHeight="1">
      <c r="A183" s="718"/>
      <c r="B183" s="746" t="s">
        <v>1385</v>
      </c>
      <c r="C183" s="746" t="s">
        <v>1386</v>
      </c>
      <c r="D183" s="747" t="s">
        <v>1387</v>
      </c>
      <c r="E183" s="746">
        <v>13156013</v>
      </c>
      <c r="F183" s="746" t="s">
        <v>302</v>
      </c>
      <c r="G183" s="746"/>
      <c r="H183" s="746">
        <v>1</v>
      </c>
      <c r="I183" s="746"/>
      <c r="J183" s="746">
        <v>1</v>
      </c>
      <c r="K183" s="729" t="s">
        <v>89</v>
      </c>
      <c r="L183" s="746">
        <v>362585</v>
      </c>
      <c r="M183" s="729" t="s">
        <v>1210</v>
      </c>
      <c r="N183" s="746" t="s">
        <v>1388</v>
      </c>
      <c r="O183" s="749" t="s">
        <v>1389</v>
      </c>
      <c r="P183" s="746">
        <v>1</v>
      </c>
      <c r="Q183" s="750">
        <v>36800000</v>
      </c>
      <c r="R183" s="855">
        <f t="shared" si="24"/>
        <v>0</v>
      </c>
      <c r="S183" s="750">
        <v>36800000</v>
      </c>
      <c r="T183" s="746"/>
      <c r="U183" s="750"/>
      <c r="V183" s="758"/>
      <c r="W183" s="750">
        <v>36800000</v>
      </c>
      <c r="X183" s="746"/>
      <c r="Y183" s="746"/>
      <c r="Z183" s="746" t="s">
        <v>806</v>
      </c>
      <c r="AA183" s="746" t="s">
        <v>1390</v>
      </c>
      <c r="AB183" s="247">
        <f>W183*1.3%</f>
        <v>478400.00000000006</v>
      </c>
      <c r="AC183" s="247">
        <f t="shared" si="26"/>
        <v>33153153.153153151</v>
      </c>
      <c r="AD183" s="770"/>
      <c r="AE183" s="771" t="s">
        <v>781</v>
      </c>
      <c r="AF183" s="746" t="s">
        <v>781</v>
      </c>
      <c r="AG183" s="746" t="s">
        <v>781</v>
      </c>
      <c r="AH183" s="746">
        <v>808138</v>
      </c>
      <c r="AI183" s="772">
        <v>806422</v>
      </c>
      <c r="AJ183" s="760" t="s">
        <v>863</v>
      </c>
    </row>
    <row r="184" spans="1:36" s="258" customFormat="1" ht="20.100000000000001" customHeight="1">
      <c r="A184" s="745"/>
      <c r="B184" s="746"/>
      <c r="C184" s="746"/>
      <c r="D184" s="747"/>
      <c r="E184" s="746"/>
      <c r="F184" s="746"/>
      <c r="G184" s="746"/>
      <c r="H184" s="746"/>
      <c r="I184" s="746"/>
      <c r="J184" s="746"/>
      <c r="K184" s="729"/>
      <c r="L184" s="746"/>
      <c r="M184" s="746"/>
      <c r="N184" s="746"/>
      <c r="O184" s="749"/>
      <c r="P184" s="746"/>
      <c r="Q184" s="750"/>
      <c r="R184" s="855" t="e">
        <f t="shared" si="24"/>
        <v>#DIV/0!</v>
      </c>
      <c r="S184" s="750"/>
      <c r="T184" s="746"/>
      <c r="U184" s="750"/>
      <c r="V184" s="758"/>
      <c r="W184" s="750"/>
      <c r="X184" s="746"/>
      <c r="Y184" s="746"/>
      <c r="Z184" s="746"/>
      <c r="AA184" s="746"/>
      <c r="AB184" s="247">
        <f>W184*1.3%</f>
        <v>0</v>
      </c>
      <c r="AC184" s="247">
        <f t="shared" si="26"/>
        <v>0</v>
      </c>
      <c r="AD184" s="770"/>
      <c r="AE184" s="771"/>
      <c r="AF184" s="746"/>
      <c r="AG184" s="746"/>
      <c r="AH184" s="746">
        <v>806856</v>
      </c>
      <c r="AI184" s="753"/>
      <c r="AJ184" s="728" t="s">
        <v>1413</v>
      </c>
    </row>
    <row r="185" spans="1:36" s="258" customFormat="1" ht="20.100000000000001" customHeight="1">
      <c r="A185" s="718"/>
      <c r="B185" s="746"/>
      <c r="C185" s="746"/>
      <c r="D185" s="747"/>
      <c r="E185" s="746"/>
      <c r="F185" s="746"/>
      <c r="G185" s="746"/>
      <c r="H185" s="746"/>
      <c r="I185" s="746"/>
      <c r="J185" s="746"/>
      <c r="K185" s="737"/>
      <c r="L185" s="746"/>
      <c r="M185" s="746"/>
      <c r="N185" s="746"/>
      <c r="O185" s="749"/>
      <c r="P185" s="746"/>
      <c r="Q185" s="750"/>
      <c r="R185" s="855" t="e">
        <f t="shared" si="24"/>
        <v>#DIV/0!</v>
      </c>
      <c r="S185" s="750"/>
      <c r="T185" s="746"/>
      <c r="U185" s="750"/>
      <c r="V185" s="758"/>
      <c r="W185" s="750"/>
      <c r="X185" s="746"/>
      <c r="Y185" s="746"/>
      <c r="Z185" s="746"/>
      <c r="AA185" s="746"/>
      <c r="AB185" s="247">
        <f t="shared" si="15"/>
        <v>0</v>
      </c>
      <c r="AC185" s="247">
        <f t="shared" si="26"/>
        <v>0</v>
      </c>
      <c r="AD185" s="770"/>
      <c r="AE185" s="771"/>
      <c r="AF185" s="746"/>
      <c r="AG185" s="746"/>
      <c r="AH185" s="746">
        <v>807617</v>
      </c>
      <c r="AI185" s="772"/>
      <c r="AJ185" s="760"/>
    </row>
    <row r="186" spans="1:36" s="258" customFormat="1" ht="20.100000000000001" customHeight="1">
      <c r="A186" s="745"/>
      <c r="B186" s="746" t="s">
        <v>1392</v>
      </c>
      <c r="C186" s="746" t="s">
        <v>1393</v>
      </c>
      <c r="D186" s="747" t="s">
        <v>1394</v>
      </c>
      <c r="E186" s="746">
        <v>13125885</v>
      </c>
      <c r="F186" s="746" t="s">
        <v>302</v>
      </c>
      <c r="G186" s="746"/>
      <c r="H186" s="746">
        <v>1</v>
      </c>
      <c r="I186" s="746"/>
      <c r="J186" s="746">
        <v>1</v>
      </c>
      <c r="K186" s="729" t="s">
        <v>89</v>
      </c>
      <c r="L186" s="746">
        <v>359987</v>
      </c>
      <c r="M186" s="746" t="s">
        <v>1395</v>
      </c>
      <c r="N186" s="746" t="s">
        <v>1396</v>
      </c>
      <c r="O186" s="749" t="s">
        <v>1397</v>
      </c>
      <c r="P186" s="746">
        <v>1</v>
      </c>
      <c r="Q186" s="750">
        <v>53500000</v>
      </c>
      <c r="R186" s="855">
        <f t="shared" si="24"/>
        <v>0</v>
      </c>
      <c r="S186" s="750">
        <v>53500000</v>
      </c>
      <c r="T186" s="746"/>
      <c r="U186" s="750"/>
      <c r="V186" s="750">
        <v>53500000</v>
      </c>
      <c r="W186" s="750"/>
      <c r="X186" s="746"/>
      <c r="Y186" s="746" t="s">
        <v>1391</v>
      </c>
      <c r="Z186" s="746"/>
      <c r="AA186" s="746"/>
      <c r="AB186" s="247">
        <f t="shared" si="15"/>
        <v>0</v>
      </c>
      <c r="AC186" s="247">
        <f t="shared" si="26"/>
        <v>48198198.198198192</v>
      </c>
      <c r="AD186" s="770"/>
      <c r="AE186" s="771" t="s">
        <v>766</v>
      </c>
      <c r="AF186" s="746" t="s">
        <v>766</v>
      </c>
      <c r="AG186" s="746" t="s">
        <v>766</v>
      </c>
      <c r="AH186" s="746">
        <v>807567</v>
      </c>
      <c r="AI186" s="772">
        <v>806422</v>
      </c>
      <c r="AJ186" s="760" t="s">
        <v>863</v>
      </c>
    </row>
    <row r="187" spans="1:36" s="258" customFormat="1" ht="20.100000000000001" customHeight="1">
      <c r="A187" s="745"/>
      <c r="B187" s="746"/>
      <c r="C187" s="746"/>
      <c r="D187" s="747"/>
      <c r="E187" s="746"/>
      <c r="F187" s="746"/>
      <c r="G187" s="746"/>
      <c r="H187" s="746"/>
      <c r="I187" s="746"/>
      <c r="J187" s="746"/>
      <c r="K187" s="729"/>
      <c r="L187" s="746"/>
      <c r="M187" s="746"/>
      <c r="N187" s="746"/>
      <c r="O187" s="749"/>
      <c r="P187" s="746"/>
      <c r="Q187" s="750"/>
      <c r="R187" s="855" t="e">
        <f t="shared" si="24"/>
        <v>#DIV/0!</v>
      </c>
      <c r="S187" s="750"/>
      <c r="T187" s="746"/>
      <c r="U187" s="750"/>
      <c r="V187" s="758"/>
      <c r="W187" s="750"/>
      <c r="X187" s="746"/>
      <c r="Y187" s="746"/>
      <c r="Z187" s="746"/>
      <c r="AA187" s="746"/>
      <c r="AB187" s="247">
        <f>W187*1.3%</f>
        <v>0</v>
      </c>
      <c r="AC187" s="247">
        <f t="shared" si="26"/>
        <v>0</v>
      </c>
      <c r="AD187" s="770"/>
      <c r="AE187" s="771"/>
      <c r="AF187" s="746"/>
      <c r="AG187" s="746"/>
      <c r="AH187" s="746">
        <v>806856</v>
      </c>
      <c r="AI187" s="753"/>
      <c r="AJ187" s="760"/>
    </row>
    <row r="188" spans="1:36" s="258" customFormat="1" ht="20.100000000000001" customHeight="1">
      <c r="A188" s="745"/>
      <c r="B188" s="746"/>
      <c r="C188" s="746"/>
      <c r="D188" s="747"/>
      <c r="E188" s="746"/>
      <c r="F188" s="746"/>
      <c r="G188" s="746"/>
      <c r="H188" s="746"/>
      <c r="I188" s="746"/>
      <c r="J188" s="746"/>
      <c r="K188" s="721"/>
      <c r="L188" s="746"/>
      <c r="M188" s="746"/>
      <c r="N188" s="746"/>
      <c r="O188" s="749"/>
      <c r="P188" s="746"/>
      <c r="Q188" s="750"/>
      <c r="R188" s="855" t="e">
        <f t="shared" si="24"/>
        <v>#DIV/0!</v>
      </c>
      <c r="S188" s="750"/>
      <c r="T188" s="746"/>
      <c r="U188" s="750"/>
      <c r="V188" s="758"/>
      <c r="W188" s="750"/>
      <c r="X188" s="746"/>
      <c r="Y188" s="746"/>
      <c r="Z188" s="746"/>
      <c r="AA188" s="746"/>
      <c r="AB188" s="247">
        <f>W188*1.5%</f>
        <v>0</v>
      </c>
      <c r="AC188" s="247">
        <f t="shared" si="26"/>
        <v>0</v>
      </c>
      <c r="AD188" s="770"/>
      <c r="AE188" s="771"/>
      <c r="AF188" s="746"/>
      <c r="AG188" s="746"/>
      <c r="AH188" s="746">
        <v>807617</v>
      </c>
      <c r="AI188" s="772"/>
      <c r="AJ188" s="746"/>
    </row>
    <row r="189" spans="1:36" s="258" customFormat="1" ht="20.100000000000001" customHeight="1">
      <c r="A189" s="718"/>
      <c r="B189" s="746" t="s">
        <v>1402</v>
      </c>
      <c r="C189" s="746" t="s">
        <v>1403</v>
      </c>
      <c r="D189" s="747" t="s">
        <v>1181</v>
      </c>
      <c r="E189" s="746">
        <v>13168499</v>
      </c>
      <c r="F189" s="746" t="s">
        <v>302</v>
      </c>
      <c r="G189" s="746"/>
      <c r="H189" s="746">
        <v>1</v>
      </c>
      <c r="I189" s="746"/>
      <c r="J189" s="746">
        <v>1</v>
      </c>
      <c r="K189" s="729" t="s">
        <v>89</v>
      </c>
      <c r="L189" s="746">
        <v>360471</v>
      </c>
      <c r="M189" s="746" t="s">
        <v>845</v>
      </c>
      <c r="N189" s="746" t="s">
        <v>1404</v>
      </c>
      <c r="O189" s="749" t="s">
        <v>1405</v>
      </c>
      <c r="P189" s="746">
        <v>1</v>
      </c>
      <c r="Q189" s="750">
        <v>91700000</v>
      </c>
      <c r="R189" s="855">
        <f t="shared" si="24"/>
        <v>0</v>
      </c>
      <c r="S189" s="750">
        <v>91700000</v>
      </c>
      <c r="T189" s="746"/>
      <c r="U189" s="750" t="s">
        <v>1179</v>
      </c>
      <c r="V189" s="758"/>
      <c r="W189" s="750">
        <v>41700000</v>
      </c>
      <c r="X189" s="746"/>
      <c r="Y189" s="746"/>
      <c r="Z189" s="746" t="s">
        <v>976</v>
      </c>
      <c r="AA189" s="746" t="s">
        <v>1004</v>
      </c>
      <c r="AB189" s="247">
        <f>W189*1.9%</f>
        <v>792300</v>
      </c>
      <c r="AC189" s="247">
        <f t="shared" si="26"/>
        <v>82612612.612612605</v>
      </c>
      <c r="AD189" s="770"/>
      <c r="AE189" s="771" t="s">
        <v>766</v>
      </c>
      <c r="AF189" s="746" t="s">
        <v>766</v>
      </c>
      <c r="AG189" s="746" t="s">
        <v>766</v>
      </c>
      <c r="AH189" s="746">
        <v>807566</v>
      </c>
      <c r="AI189" s="772">
        <v>806422</v>
      </c>
      <c r="AJ189" s="746"/>
    </row>
    <row r="190" spans="1:36" s="258" customFormat="1" ht="20.100000000000001" customHeight="1">
      <c r="A190" s="718"/>
      <c r="B190" s="746"/>
      <c r="C190" s="746"/>
      <c r="D190" s="747"/>
      <c r="E190" s="746"/>
      <c r="F190" s="746"/>
      <c r="G190" s="746"/>
      <c r="H190" s="746"/>
      <c r="I190" s="746"/>
      <c r="J190" s="746"/>
      <c r="K190" s="737"/>
      <c r="L190" s="746"/>
      <c r="M190" s="746"/>
      <c r="N190" s="746"/>
      <c r="O190" s="749"/>
      <c r="P190" s="746"/>
      <c r="Q190" s="750"/>
      <c r="R190" s="855" t="e">
        <f t="shared" si="24"/>
        <v>#DIV/0!</v>
      </c>
      <c r="S190" s="750"/>
      <c r="T190" s="746"/>
      <c r="U190" s="750"/>
      <c r="V190" s="758"/>
      <c r="W190" s="750"/>
      <c r="X190" s="746"/>
      <c r="Y190" s="746"/>
      <c r="Z190" s="746"/>
      <c r="AA190" s="746"/>
      <c r="AB190" s="247">
        <f>W190*1.9%</f>
        <v>0</v>
      </c>
      <c r="AC190" s="247">
        <f t="shared" si="26"/>
        <v>0</v>
      </c>
      <c r="AD190" s="770">
        <f>SUM(AC180:AC190)</f>
        <v>222972972.97297296</v>
      </c>
      <c r="AE190" s="771"/>
      <c r="AF190" s="746"/>
      <c r="AG190" s="746"/>
      <c r="AH190" s="746">
        <v>804190</v>
      </c>
      <c r="AI190" s="753"/>
      <c r="AJ190" s="760"/>
    </row>
    <row r="191" spans="1:36" s="258" customFormat="1" ht="20.100000000000001" customHeight="1">
      <c r="A191" s="718">
        <v>46285</v>
      </c>
      <c r="B191" s="667" t="s">
        <v>1429</v>
      </c>
      <c r="C191" s="746" t="s">
        <v>1432</v>
      </c>
      <c r="D191" s="747" t="s">
        <v>1431</v>
      </c>
      <c r="E191" s="746">
        <v>13192244</v>
      </c>
      <c r="F191" s="729"/>
      <c r="G191" s="746"/>
      <c r="H191" s="746"/>
      <c r="I191" s="746"/>
      <c r="J191" s="746"/>
      <c r="K191" s="729"/>
      <c r="L191" s="746"/>
      <c r="M191" s="760" t="s">
        <v>804</v>
      </c>
      <c r="N191" s="746"/>
      <c r="O191" s="800" t="s">
        <v>1430</v>
      </c>
      <c r="P191" s="746"/>
      <c r="Q191" s="750"/>
      <c r="R191" s="855" t="e">
        <f t="shared" si="24"/>
        <v>#DIV/0!</v>
      </c>
      <c r="S191" s="750"/>
      <c r="T191" s="746"/>
      <c r="U191" s="750"/>
      <c r="V191" s="758">
        <v>188045000</v>
      </c>
      <c r="W191" s="750"/>
      <c r="X191" s="746"/>
      <c r="Y191" s="746" t="s">
        <v>806</v>
      </c>
      <c r="Z191" s="746"/>
      <c r="AA191" s="746"/>
      <c r="AB191" s="247">
        <f>W191*2.2%</f>
        <v>0</v>
      </c>
      <c r="AC191" s="247">
        <f t="shared" si="26"/>
        <v>0</v>
      </c>
      <c r="AD191" s="770"/>
      <c r="AE191" s="771" t="s">
        <v>775</v>
      </c>
      <c r="AF191" s="746" t="s">
        <v>775</v>
      </c>
      <c r="AG191" s="746"/>
      <c r="AH191" s="746"/>
      <c r="AI191" s="772"/>
      <c r="AJ191" s="746"/>
    </row>
    <row r="192" spans="1:36" s="258" customFormat="1" ht="20.100000000000001" customHeight="1">
      <c r="A192" s="718"/>
      <c r="B192" s="746"/>
      <c r="C192" s="746"/>
      <c r="D192" s="747"/>
      <c r="E192" s="746"/>
      <c r="F192" s="746"/>
      <c r="G192" s="746"/>
      <c r="H192" s="746"/>
      <c r="I192" s="746"/>
      <c r="J192" s="746"/>
      <c r="K192" s="737"/>
      <c r="L192" s="746"/>
      <c r="M192" s="746"/>
      <c r="N192" s="746"/>
      <c r="O192" s="749"/>
      <c r="P192" s="746"/>
      <c r="Q192" s="750"/>
      <c r="R192" s="855" t="e">
        <f t="shared" si="24"/>
        <v>#DIV/0!</v>
      </c>
      <c r="S192" s="750"/>
      <c r="T192" s="746"/>
      <c r="U192" s="750"/>
      <c r="V192" s="758"/>
      <c r="W192" s="750"/>
      <c r="X192" s="746"/>
      <c r="Y192" s="746"/>
      <c r="Z192" s="746"/>
      <c r="AA192" s="746"/>
      <c r="AB192" s="247">
        <f t="shared" si="15"/>
        <v>0</v>
      </c>
      <c r="AC192" s="247">
        <f t="shared" si="26"/>
        <v>0</v>
      </c>
      <c r="AD192" s="770"/>
      <c r="AE192" s="771"/>
      <c r="AF192" s="746"/>
      <c r="AG192" s="746"/>
      <c r="AH192" s="746"/>
      <c r="AI192" s="772"/>
      <c r="AJ192" s="760"/>
    </row>
    <row r="193" spans="1:36" s="258" customFormat="1" ht="20.100000000000001" customHeight="1">
      <c r="A193" s="745"/>
      <c r="B193" s="746"/>
      <c r="C193" s="746"/>
      <c r="D193" s="747"/>
      <c r="E193" s="746"/>
      <c r="F193" s="729"/>
      <c r="G193" s="746"/>
      <c r="H193" s="746"/>
      <c r="I193" s="746"/>
      <c r="J193" s="746"/>
      <c r="K193" s="729"/>
      <c r="L193" s="746"/>
      <c r="M193" s="746"/>
      <c r="N193" s="746"/>
      <c r="O193" s="749"/>
      <c r="P193" s="746"/>
      <c r="Q193" s="750"/>
      <c r="R193" s="855" t="e">
        <f t="shared" si="24"/>
        <v>#DIV/0!</v>
      </c>
      <c r="S193" s="750"/>
      <c r="T193" s="746"/>
      <c r="U193" s="750"/>
      <c r="V193" s="758"/>
      <c r="W193" s="750"/>
      <c r="X193" s="746"/>
      <c r="Y193" s="746"/>
      <c r="Z193" s="746"/>
      <c r="AA193" s="746"/>
      <c r="AB193" s="247">
        <f>W193*0.15%</f>
        <v>0</v>
      </c>
      <c r="AC193" s="247">
        <f t="shared" si="26"/>
        <v>0</v>
      </c>
      <c r="AD193" s="770"/>
      <c r="AE193" s="771"/>
      <c r="AF193" s="746"/>
      <c r="AG193" s="746"/>
      <c r="AH193" s="746"/>
      <c r="AI193" s="772"/>
      <c r="AJ193" s="742"/>
    </row>
    <row r="194" spans="1:36" s="258" customFormat="1" ht="20.100000000000001" customHeight="1">
      <c r="A194" s="745"/>
      <c r="B194" s="746"/>
      <c r="C194" s="746"/>
      <c r="D194" s="747"/>
      <c r="E194" s="746"/>
      <c r="F194" s="746"/>
      <c r="G194" s="746"/>
      <c r="H194" s="746"/>
      <c r="I194" s="746"/>
      <c r="J194" s="746"/>
      <c r="K194" s="729"/>
      <c r="L194" s="746"/>
      <c r="M194" s="746"/>
      <c r="N194" s="746"/>
      <c r="O194" s="749"/>
      <c r="P194" s="746"/>
      <c r="Q194" s="750"/>
      <c r="R194" s="855" t="e">
        <f t="shared" si="24"/>
        <v>#DIV/0!</v>
      </c>
      <c r="S194" s="750"/>
      <c r="T194" s="746"/>
      <c r="U194" s="750"/>
      <c r="V194" s="758"/>
      <c r="W194" s="750"/>
      <c r="X194" s="746"/>
      <c r="Y194" s="746"/>
      <c r="Z194" s="746"/>
      <c r="AA194" s="746"/>
      <c r="AB194" s="247">
        <f t="shared" si="15"/>
        <v>0</v>
      </c>
      <c r="AC194" s="247">
        <f t="shared" si="26"/>
        <v>0</v>
      </c>
      <c r="AD194" s="770"/>
      <c r="AE194" s="771"/>
      <c r="AF194" s="746"/>
      <c r="AG194" s="746"/>
      <c r="AH194" s="746"/>
      <c r="AI194" s="753"/>
      <c r="AJ194" s="746"/>
    </row>
    <row r="195" spans="1:36" s="258" customFormat="1" ht="20.100000000000001" customHeight="1">
      <c r="A195" s="718"/>
      <c r="B195" s="746"/>
      <c r="C195" s="746"/>
      <c r="D195" s="747"/>
      <c r="E195" s="746"/>
      <c r="F195" s="746"/>
      <c r="G195" s="746"/>
      <c r="H195" s="746"/>
      <c r="I195" s="746"/>
      <c r="J195" s="746"/>
      <c r="K195" s="737"/>
      <c r="L195" s="746"/>
      <c r="M195" s="746"/>
      <c r="N195" s="746"/>
      <c r="O195" s="749"/>
      <c r="P195" s="746"/>
      <c r="Q195" s="750"/>
      <c r="R195" s="855" t="e">
        <f t="shared" si="24"/>
        <v>#DIV/0!</v>
      </c>
      <c r="S195" s="750"/>
      <c r="T195" s="746"/>
      <c r="U195" s="750"/>
      <c r="V195" s="758"/>
      <c r="W195" s="750"/>
      <c r="X195" s="746"/>
      <c r="Y195" s="746"/>
      <c r="Z195" s="746"/>
      <c r="AA195" s="746"/>
      <c r="AB195" s="247">
        <f>W195*1.75%</f>
        <v>0</v>
      </c>
      <c r="AC195" s="247">
        <f t="shared" si="26"/>
        <v>0</v>
      </c>
      <c r="AD195" s="770"/>
      <c r="AE195" s="771"/>
      <c r="AF195" s="746"/>
      <c r="AG195" s="746"/>
      <c r="AH195" s="746"/>
      <c r="AI195" s="772"/>
      <c r="AJ195" s="760"/>
    </row>
    <row r="196" spans="1:36" s="258" customFormat="1" ht="20.100000000000001" customHeight="1">
      <c r="A196" s="745"/>
      <c r="B196" s="793"/>
      <c r="C196" s="793"/>
      <c r="D196" s="747"/>
      <c r="E196" s="746"/>
      <c r="F196" s="746"/>
      <c r="G196" s="746"/>
      <c r="H196" s="746"/>
      <c r="I196" s="746"/>
      <c r="J196" s="746"/>
      <c r="K196" s="729"/>
      <c r="L196" s="746"/>
      <c r="M196" s="746"/>
      <c r="N196" s="746"/>
      <c r="O196" s="749"/>
      <c r="P196" s="746"/>
      <c r="Q196" s="750"/>
      <c r="R196" s="855" t="e">
        <f t="shared" si="24"/>
        <v>#DIV/0!</v>
      </c>
      <c r="S196" s="750"/>
      <c r="T196" s="746"/>
      <c r="U196" s="750"/>
      <c r="V196" s="758"/>
      <c r="W196" s="750"/>
      <c r="X196" s="746"/>
      <c r="Y196" s="746"/>
      <c r="Z196" s="746"/>
      <c r="AA196" s="746"/>
      <c r="AB196" s="247">
        <f>W196*1.7%</f>
        <v>0</v>
      </c>
      <c r="AC196" s="247">
        <f t="shared" si="26"/>
        <v>0</v>
      </c>
      <c r="AD196" s="770"/>
      <c r="AE196" s="771"/>
      <c r="AF196" s="746"/>
      <c r="AG196" s="746"/>
      <c r="AH196" s="746"/>
      <c r="AI196" s="772"/>
      <c r="AJ196" s="760"/>
    </row>
    <row r="197" spans="1:36" s="258" customFormat="1" ht="20.100000000000001" customHeight="1">
      <c r="A197" s="745"/>
      <c r="B197" s="793"/>
      <c r="C197" s="793"/>
      <c r="D197" s="747"/>
      <c r="E197" s="746"/>
      <c r="F197" s="746"/>
      <c r="G197" s="746"/>
      <c r="H197" s="746"/>
      <c r="I197" s="746"/>
      <c r="J197" s="746"/>
      <c r="K197" s="729"/>
      <c r="L197" s="746"/>
      <c r="M197" s="746"/>
      <c r="N197" s="746"/>
      <c r="O197" s="749"/>
      <c r="P197" s="746"/>
      <c r="Q197" s="750"/>
      <c r="R197" s="855" t="e">
        <f t="shared" si="24"/>
        <v>#DIV/0!</v>
      </c>
      <c r="S197" s="750"/>
      <c r="T197" s="746"/>
      <c r="U197" s="750"/>
      <c r="V197" s="758"/>
      <c r="W197" s="750"/>
      <c r="X197" s="746"/>
      <c r="Y197" s="746"/>
      <c r="Z197" s="746"/>
      <c r="AA197" s="746"/>
      <c r="AB197" s="247">
        <f t="shared" si="15"/>
        <v>0</v>
      </c>
      <c r="AC197" s="247">
        <f t="shared" si="26"/>
        <v>0</v>
      </c>
      <c r="AD197" s="770"/>
      <c r="AE197" s="771"/>
      <c r="AF197" s="746"/>
      <c r="AG197" s="746"/>
      <c r="AH197" s="746"/>
      <c r="AI197" s="753"/>
      <c r="AJ197" s="728"/>
    </row>
    <row r="198" spans="1:36" s="258" customFormat="1" ht="20.100000000000001" customHeight="1">
      <c r="A198" s="745"/>
      <c r="B198" s="746"/>
      <c r="C198" s="746"/>
      <c r="D198" s="747"/>
      <c r="E198" s="746"/>
      <c r="F198" s="746"/>
      <c r="G198" s="746"/>
      <c r="H198" s="746"/>
      <c r="I198" s="746"/>
      <c r="J198" s="746"/>
      <c r="K198" s="721"/>
      <c r="L198" s="746"/>
      <c r="M198" s="746"/>
      <c r="N198" s="746"/>
      <c r="O198" s="749"/>
      <c r="P198" s="746"/>
      <c r="Q198" s="750"/>
      <c r="R198" s="855" t="e">
        <f t="shared" si="24"/>
        <v>#DIV/0!</v>
      </c>
      <c r="S198" s="750"/>
      <c r="T198" s="760"/>
      <c r="U198" s="750"/>
      <c r="V198" s="750"/>
      <c r="W198" s="750"/>
      <c r="X198" s="746"/>
      <c r="Y198" s="746"/>
      <c r="Z198" s="746"/>
      <c r="AA198" s="746"/>
      <c r="AB198" s="247">
        <f t="shared" si="15"/>
        <v>0</v>
      </c>
      <c r="AC198" s="247">
        <f t="shared" si="26"/>
        <v>0</v>
      </c>
      <c r="AD198" s="770"/>
      <c r="AE198" s="771"/>
      <c r="AF198" s="746"/>
      <c r="AG198" s="746"/>
      <c r="AH198" s="746"/>
      <c r="AI198" s="772"/>
      <c r="AJ198" s="760"/>
    </row>
    <row r="199" spans="1:36" s="258" customFormat="1" ht="19.5" customHeight="1">
      <c r="A199" s="745"/>
      <c r="B199" s="746"/>
      <c r="C199" s="746"/>
      <c r="D199" s="747"/>
      <c r="E199" s="746"/>
      <c r="F199" s="729"/>
      <c r="G199" s="746"/>
      <c r="H199" s="746"/>
      <c r="I199" s="746"/>
      <c r="J199" s="746"/>
      <c r="K199" s="729"/>
      <c r="L199" s="746"/>
      <c r="M199" s="746"/>
      <c r="N199" s="746"/>
      <c r="O199" s="749"/>
      <c r="P199" s="746"/>
      <c r="Q199" s="750"/>
      <c r="R199" s="855" t="e">
        <f t="shared" si="24"/>
        <v>#DIV/0!</v>
      </c>
      <c r="S199" s="750"/>
      <c r="T199" s="746"/>
      <c r="U199" s="750"/>
      <c r="V199" s="758"/>
      <c r="W199" s="750"/>
      <c r="X199" s="746"/>
      <c r="Y199" s="746"/>
      <c r="Z199" s="746"/>
      <c r="AA199" s="746"/>
      <c r="AB199" s="247">
        <f>W199*0.15%</f>
        <v>0</v>
      </c>
      <c r="AC199" s="247">
        <f t="shared" si="26"/>
        <v>0</v>
      </c>
      <c r="AD199" s="770"/>
      <c r="AE199" s="771"/>
      <c r="AF199" s="746"/>
      <c r="AG199" s="746"/>
      <c r="AH199" s="746"/>
      <c r="AI199" s="772"/>
      <c r="AJ199" s="728"/>
    </row>
    <row r="200" spans="1:36" s="258" customFormat="1" ht="19.5" customHeight="1">
      <c r="A200" s="718"/>
      <c r="B200" s="754"/>
      <c r="C200" s="746"/>
      <c r="D200" s="747"/>
      <c r="E200" s="746"/>
      <c r="F200" s="746"/>
      <c r="G200" s="746"/>
      <c r="H200" s="746"/>
      <c r="I200" s="746"/>
      <c r="J200" s="746"/>
      <c r="K200" s="746"/>
      <c r="L200" s="746"/>
      <c r="M200" s="746"/>
      <c r="N200" s="746"/>
      <c r="O200" s="749"/>
      <c r="P200" s="746"/>
      <c r="Q200" s="750"/>
      <c r="R200" s="855" t="e">
        <f t="shared" si="24"/>
        <v>#DIV/0!</v>
      </c>
      <c r="S200" s="750"/>
      <c r="T200" s="746"/>
      <c r="U200" s="750"/>
      <c r="V200" s="758"/>
      <c r="W200" s="750"/>
      <c r="X200" s="746"/>
      <c r="Y200" s="746"/>
      <c r="Z200" s="746"/>
      <c r="AA200" s="746"/>
      <c r="AB200" s="247">
        <f>W200*1.4%</f>
        <v>0</v>
      </c>
      <c r="AC200" s="247">
        <f t="shared" si="26"/>
        <v>0</v>
      </c>
      <c r="AD200" s="770"/>
      <c r="AE200" s="771"/>
      <c r="AF200" s="746"/>
      <c r="AG200" s="746"/>
      <c r="AH200" s="746"/>
      <c r="AI200" s="772"/>
      <c r="AJ200" s="746"/>
    </row>
    <row r="201" spans="1:36" s="258" customFormat="1" ht="20.100000000000001" customHeight="1">
      <c r="A201" s="718"/>
      <c r="B201" s="746"/>
      <c r="C201" s="746"/>
      <c r="D201" s="747"/>
      <c r="E201" s="746"/>
      <c r="F201" s="746"/>
      <c r="G201" s="746"/>
      <c r="H201" s="746"/>
      <c r="I201" s="746"/>
      <c r="J201" s="746"/>
      <c r="K201" s="737"/>
      <c r="L201" s="746"/>
      <c r="M201" s="746"/>
      <c r="N201" s="746"/>
      <c r="O201" s="749"/>
      <c r="P201" s="746"/>
      <c r="Q201" s="750"/>
      <c r="R201" s="855" t="e">
        <f t="shared" si="24"/>
        <v>#DIV/0!</v>
      </c>
      <c r="S201" s="750"/>
      <c r="T201" s="746"/>
      <c r="U201" s="750"/>
      <c r="V201" s="758"/>
      <c r="W201" s="750"/>
      <c r="X201" s="746"/>
      <c r="Y201" s="746"/>
      <c r="Z201" s="746"/>
      <c r="AA201" s="746"/>
      <c r="AB201" s="247">
        <f>W201*1.25%</f>
        <v>0</v>
      </c>
      <c r="AC201" s="247">
        <f t="shared" si="26"/>
        <v>0</v>
      </c>
      <c r="AD201" s="770"/>
      <c r="AE201" s="771"/>
      <c r="AF201" s="746"/>
      <c r="AG201" s="746"/>
      <c r="AH201" s="746"/>
      <c r="AI201" s="753"/>
      <c r="AJ201" s="803"/>
    </row>
    <row r="202" spans="1:36" s="258" customFormat="1" ht="20.100000000000001" customHeight="1">
      <c r="A202" s="718"/>
      <c r="B202" s="746"/>
      <c r="C202" s="746"/>
      <c r="D202" s="747"/>
      <c r="E202" s="746"/>
      <c r="F202" s="746"/>
      <c r="G202" s="746"/>
      <c r="H202" s="746"/>
      <c r="I202" s="746"/>
      <c r="J202" s="746"/>
      <c r="K202" s="737"/>
      <c r="L202" s="746"/>
      <c r="M202" s="760"/>
      <c r="N202" s="746"/>
      <c r="O202" s="800"/>
      <c r="P202" s="746"/>
      <c r="Q202" s="750"/>
      <c r="R202" s="855" t="e">
        <f t="shared" ref="R202:R233" si="27">(Q202-S202)/Q202*100</f>
        <v>#DIV/0!</v>
      </c>
      <c r="S202" s="750"/>
      <c r="T202" s="746"/>
      <c r="U202" s="750"/>
      <c r="V202" s="758"/>
      <c r="W202" s="758"/>
      <c r="X202" s="746"/>
      <c r="Y202" s="746"/>
      <c r="Z202" s="746"/>
      <c r="AA202" s="746"/>
      <c r="AB202" s="247">
        <f>W202*0.15%</f>
        <v>0</v>
      </c>
      <c r="AC202" s="247">
        <f t="shared" si="26"/>
        <v>0</v>
      </c>
      <c r="AD202" s="770"/>
      <c r="AE202" s="771"/>
      <c r="AF202" s="746"/>
      <c r="AG202" s="746"/>
      <c r="AH202" s="746"/>
      <c r="AI202" s="753"/>
      <c r="AJ202" s="746"/>
    </row>
    <row r="203" spans="1:36" s="258" customFormat="1" ht="20.100000000000001" customHeight="1">
      <c r="A203" s="802"/>
      <c r="B203" s="729"/>
      <c r="C203" s="729"/>
      <c r="D203" s="732"/>
      <c r="E203" s="729"/>
      <c r="F203" s="746"/>
      <c r="G203" s="729"/>
      <c r="H203" s="729"/>
      <c r="I203" s="729"/>
      <c r="J203" s="729"/>
      <c r="K203" s="737"/>
      <c r="L203" s="729"/>
      <c r="M203" s="729"/>
      <c r="N203" s="729"/>
      <c r="O203" s="730"/>
      <c r="P203" s="729"/>
      <c r="Q203" s="731"/>
      <c r="R203" s="855" t="e">
        <f t="shared" si="27"/>
        <v>#DIV/0!</v>
      </c>
      <c r="S203" s="731"/>
      <c r="T203" s="729"/>
      <c r="U203" s="731"/>
      <c r="V203" s="755"/>
      <c r="W203" s="731"/>
      <c r="X203" s="729"/>
      <c r="Y203" s="729"/>
      <c r="Z203" s="729"/>
      <c r="AA203" s="729"/>
      <c r="AB203" s="247">
        <f>W203*2.25%</f>
        <v>0</v>
      </c>
      <c r="AC203" s="247">
        <f t="shared" si="26"/>
        <v>0</v>
      </c>
      <c r="AD203" s="763"/>
      <c r="AE203" s="764"/>
      <c r="AF203" s="729"/>
      <c r="AG203" s="729"/>
      <c r="AH203" s="729"/>
      <c r="AI203" s="753"/>
      <c r="AJ203" s="754"/>
    </row>
    <row r="204" spans="1:36" s="258" customFormat="1" ht="20.100000000000001" customHeight="1">
      <c r="A204" s="745"/>
      <c r="B204" s="746"/>
      <c r="C204" s="746"/>
      <c r="D204" s="747"/>
      <c r="E204" s="746"/>
      <c r="F204" s="746"/>
      <c r="G204" s="746"/>
      <c r="H204" s="746"/>
      <c r="I204" s="746"/>
      <c r="J204" s="746"/>
      <c r="K204" s="737"/>
      <c r="L204" s="746"/>
      <c r="M204" s="746"/>
      <c r="N204" s="746"/>
      <c r="O204" s="749"/>
      <c r="P204" s="746"/>
      <c r="Q204" s="750"/>
      <c r="R204" s="855" t="e">
        <f t="shared" si="27"/>
        <v>#DIV/0!</v>
      </c>
      <c r="S204" s="750"/>
      <c r="T204" s="731"/>
      <c r="U204" s="750"/>
      <c r="V204" s="758"/>
      <c r="W204" s="750"/>
      <c r="X204" s="746"/>
      <c r="Y204" s="746"/>
      <c r="Z204" s="746"/>
      <c r="AA204" s="746"/>
      <c r="AB204" s="247">
        <f>W204*0.15%</f>
        <v>0</v>
      </c>
      <c r="AC204" s="247">
        <f t="shared" si="26"/>
        <v>0</v>
      </c>
      <c r="AD204" s="770"/>
      <c r="AE204" s="771"/>
      <c r="AF204" s="746"/>
      <c r="AG204" s="746"/>
      <c r="AH204" s="746"/>
      <c r="AI204" s="772"/>
      <c r="AJ204" s="746"/>
    </row>
    <row r="205" spans="1:36" s="258" customFormat="1" ht="20.100000000000001" customHeight="1">
      <c r="A205" s="745"/>
      <c r="B205" s="746"/>
      <c r="C205" s="746"/>
      <c r="D205" s="747"/>
      <c r="E205" s="746"/>
      <c r="F205" s="746"/>
      <c r="G205" s="746"/>
      <c r="H205" s="746"/>
      <c r="I205" s="746"/>
      <c r="J205" s="746"/>
      <c r="K205" s="746"/>
      <c r="L205" s="746"/>
      <c r="M205" s="746"/>
      <c r="N205" s="746"/>
      <c r="O205" s="749"/>
      <c r="P205" s="746"/>
      <c r="Q205" s="750"/>
      <c r="R205" s="855" t="e">
        <f t="shared" si="27"/>
        <v>#DIV/0!</v>
      </c>
      <c r="S205" s="750"/>
      <c r="T205" s="746"/>
      <c r="U205" s="750"/>
      <c r="V205" s="758"/>
      <c r="W205" s="750"/>
      <c r="X205" s="746"/>
      <c r="Y205" s="746"/>
      <c r="Z205" s="746"/>
      <c r="AA205" s="746"/>
      <c r="AB205" s="247">
        <f t="shared" si="15"/>
        <v>0</v>
      </c>
      <c r="AC205" s="247">
        <f t="shared" si="26"/>
        <v>0</v>
      </c>
      <c r="AD205" s="770"/>
      <c r="AE205" s="771"/>
      <c r="AF205" s="746"/>
      <c r="AG205" s="746"/>
      <c r="AH205" s="746"/>
      <c r="AI205" s="772"/>
      <c r="AJ205" s="746"/>
    </row>
    <row r="206" spans="1:36" s="258" customFormat="1" ht="20.100000000000001" customHeight="1">
      <c r="A206" s="718"/>
      <c r="B206" s="746"/>
      <c r="C206" s="746"/>
      <c r="D206" s="747"/>
      <c r="E206" s="746"/>
      <c r="F206" s="746"/>
      <c r="G206" s="746"/>
      <c r="H206" s="746"/>
      <c r="I206" s="746"/>
      <c r="J206" s="746"/>
      <c r="K206" s="737"/>
      <c r="L206" s="746"/>
      <c r="M206" s="746"/>
      <c r="N206" s="746"/>
      <c r="O206" s="749"/>
      <c r="P206" s="746"/>
      <c r="Q206" s="750"/>
      <c r="R206" s="855" t="e">
        <f t="shared" si="27"/>
        <v>#DIV/0!</v>
      </c>
      <c r="S206" s="750"/>
      <c r="T206" s="760"/>
      <c r="U206" s="750"/>
      <c r="V206" s="758"/>
      <c r="W206" s="750"/>
      <c r="X206" s="746"/>
      <c r="Y206" s="746"/>
      <c r="Z206" s="746"/>
      <c r="AA206" s="746"/>
      <c r="AB206" s="247">
        <f>W206*1.5%</f>
        <v>0</v>
      </c>
      <c r="AC206" s="247">
        <f t="shared" si="26"/>
        <v>0</v>
      </c>
      <c r="AD206" s="770"/>
      <c r="AE206" s="771"/>
      <c r="AF206" s="746"/>
      <c r="AG206" s="746"/>
      <c r="AH206" s="746"/>
      <c r="AI206" s="753"/>
      <c r="AJ206" s="760"/>
    </row>
    <row r="207" spans="1:36" s="258" customFormat="1" ht="20.100000000000001" customHeight="1">
      <c r="A207" s="745"/>
      <c r="B207" s="746"/>
      <c r="C207" s="746"/>
      <c r="D207" s="747"/>
      <c r="E207" s="746"/>
      <c r="F207" s="746"/>
      <c r="G207" s="746"/>
      <c r="H207" s="746"/>
      <c r="I207" s="746"/>
      <c r="J207" s="746"/>
      <c r="K207" s="746"/>
      <c r="L207" s="746"/>
      <c r="M207" s="760"/>
      <c r="N207" s="746"/>
      <c r="O207" s="800"/>
      <c r="P207" s="746"/>
      <c r="Q207" s="750"/>
      <c r="R207" s="855" t="e">
        <f t="shared" si="27"/>
        <v>#DIV/0!</v>
      </c>
      <c r="S207" s="750"/>
      <c r="T207" s="746"/>
      <c r="U207" s="750"/>
      <c r="V207" s="758"/>
      <c r="W207" s="758"/>
      <c r="X207" s="746"/>
      <c r="Y207" s="746"/>
      <c r="Z207" s="746"/>
      <c r="AA207" s="746"/>
      <c r="AB207" s="247">
        <f t="shared" si="15"/>
        <v>0</v>
      </c>
      <c r="AC207" s="247">
        <f t="shared" si="26"/>
        <v>0</v>
      </c>
      <c r="AD207" s="770"/>
      <c r="AE207" s="771"/>
      <c r="AF207" s="746"/>
      <c r="AG207" s="746"/>
      <c r="AH207" s="746"/>
      <c r="AI207" s="772"/>
      <c r="AJ207" s="760"/>
    </row>
    <row r="208" spans="1:36" s="258" customFormat="1" ht="20.100000000000001" customHeight="1">
      <c r="A208" s="745"/>
      <c r="B208" s="746"/>
      <c r="C208" s="746"/>
      <c r="D208" s="747"/>
      <c r="E208" s="746"/>
      <c r="F208" s="729"/>
      <c r="G208" s="746"/>
      <c r="H208" s="746"/>
      <c r="I208" s="746"/>
      <c r="J208" s="746"/>
      <c r="K208" s="721"/>
      <c r="L208" s="746"/>
      <c r="M208" s="746"/>
      <c r="N208" s="746"/>
      <c r="O208" s="749"/>
      <c r="P208" s="746"/>
      <c r="Q208" s="750"/>
      <c r="R208" s="855" t="e">
        <f t="shared" si="27"/>
        <v>#DIV/0!</v>
      </c>
      <c r="S208" s="750"/>
      <c r="T208" s="746"/>
      <c r="U208" s="750"/>
      <c r="V208" s="758"/>
      <c r="W208" s="758"/>
      <c r="X208" s="746"/>
      <c r="Y208" s="746"/>
      <c r="Z208" s="746"/>
      <c r="AA208" s="746"/>
      <c r="AB208" s="247">
        <f>W208*5%</f>
        <v>0</v>
      </c>
      <c r="AC208" s="247">
        <f t="shared" si="26"/>
        <v>0</v>
      </c>
      <c r="AD208" s="770"/>
      <c r="AE208" s="771"/>
      <c r="AF208" s="746"/>
      <c r="AG208" s="746"/>
      <c r="AH208" s="746"/>
      <c r="AI208" s="772"/>
      <c r="AJ208" s="760"/>
    </row>
    <row r="209" spans="1:36" s="258" customFormat="1" ht="20.100000000000001" customHeight="1">
      <c r="A209" s="718"/>
      <c r="B209" s="746"/>
      <c r="C209" s="746"/>
      <c r="D209" s="747"/>
      <c r="E209" s="746"/>
      <c r="F209" s="746"/>
      <c r="G209" s="746"/>
      <c r="H209" s="746"/>
      <c r="I209" s="746"/>
      <c r="J209" s="746"/>
      <c r="K209" s="737"/>
      <c r="L209" s="746"/>
      <c r="M209" s="746"/>
      <c r="N209" s="746"/>
      <c r="O209" s="749"/>
      <c r="P209" s="746"/>
      <c r="Q209" s="750"/>
      <c r="R209" s="855" t="e">
        <f t="shared" si="27"/>
        <v>#DIV/0!</v>
      </c>
      <c r="S209" s="750"/>
      <c r="T209" s="760"/>
      <c r="U209" s="750"/>
      <c r="V209" s="758"/>
      <c r="W209" s="750"/>
      <c r="X209" s="746"/>
      <c r="Y209" s="746"/>
      <c r="Z209" s="746"/>
      <c r="AA209" s="746"/>
      <c r="AB209" s="247">
        <f>W209*1.4%</f>
        <v>0</v>
      </c>
      <c r="AC209" s="247">
        <f t="shared" si="26"/>
        <v>0</v>
      </c>
      <c r="AD209" s="770"/>
      <c r="AE209" s="771"/>
      <c r="AF209" s="746"/>
      <c r="AG209" s="746"/>
      <c r="AH209" s="746"/>
      <c r="AI209" s="772"/>
      <c r="AJ209" s="746"/>
    </row>
    <row r="210" spans="1:36" s="258" customFormat="1" ht="20.100000000000001" customHeight="1">
      <c r="A210" s="745"/>
      <c r="B210" s="746"/>
      <c r="C210" s="746"/>
      <c r="D210" s="747"/>
      <c r="E210" s="746"/>
      <c r="F210" s="746"/>
      <c r="G210" s="746"/>
      <c r="H210" s="746"/>
      <c r="I210" s="746"/>
      <c r="J210" s="746"/>
      <c r="K210" s="746"/>
      <c r="L210" s="746"/>
      <c r="M210" s="746"/>
      <c r="N210" s="746"/>
      <c r="O210" s="749"/>
      <c r="P210" s="746"/>
      <c r="Q210" s="750"/>
      <c r="R210" s="855" t="e">
        <f t="shared" si="27"/>
        <v>#DIV/0!</v>
      </c>
      <c r="S210" s="750"/>
      <c r="T210" s="746"/>
      <c r="U210" s="750"/>
      <c r="V210" s="758"/>
      <c r="W210" s="750"/>
      <c r="X210" s="746"/>
      <c r="Y210" s="746"/>
      <c r="Z210" s="746"/>
      <c r="AA210" s="746"/>
      <c r="AB210" s="247">
        <f t="shared" si="15"/>
        <v>0</v>
      </c>
      <c r="AC210" s="247">
        <f t="shared" ref="AC210:AC241" si="28">(S210/1.11)</f>
        <v>0</v>
      </c>
      <c r="AD210" s="770"/>
      <c r="AE210" s="771"/>
      <c r="AF210" s="746"/>
      <c r="AG210" s="746"/>
      <c r="AH210" s="746"/>
      <c r="AI210" s="772"/>
      <c r="AJ210" s="746"/>
    </row>
    <row r="211" spans="1:36" s="258" customFormat="1" ht="20.100000000000001" customHeight="1">
      <c r="A211" s="751"/>
      <c r="B211" s="729"/>
      <c r="C211" s="729"/>
      <c r="D211" s="732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30"/>
      <c r="P211" s="729"/>
      <c r="Q211" s="731"/>
      <c r="R211" s="855" t="e">
        <f t="shared" si="27"/>
        <v>#DIV/0!</v>
      </c>
      <c r="S211" s="731"/>
      <c r="T211" s="729"/>
      <c r="U211" s="731"/>
      <c r="V211" s="755"/>
      <c r="W211" s="731"/>
      <c r="X211" s="729"/>
      <c r="Y211" s="729"/>
      <c r="Z211" s="729"/>
      <c r="AA211" s="729"/>
      <c r="AB211" s="247">
        <f>W211*1%</f>
        <v>0</v>
      </c>
      <c r="AC211" s="247">
        <f t="shared" si="28"/>
        <v>0</v>
      </c>
      <c r="AD211" s="763"/>
      <c r="AE211" s="764"/>
      <c r="AF211" s="729"/>
      <c r="AG211" s="729"/>
      <c r="AH211" s="729"/>
      <c r="AI211" s="753"/>
      <c r="AJ211" s="729"/>
    </row>
    <row r="212" spans="1:36" s="258" customFormat="1" ht="20.100000000000001" customHeight="1">
      <c r="A212" s="718"/>
      <c r="B212" s="729"/>
      <c r="C212" s="729"/>
      <c r="D212" s="732"/>
      <c r="E212" s="729"/>
      <c r="F212" s="746"/>
      <c r="G212" s="729"/>
      <c r="H212" s="729"/>
      <c r="I212" s="729"/>
      <c r="J212" s="729"/>
      <c r="K212" s="737"/>
      <c r="L212" s="729"/>
      <c r="M212" s="729"/>
      <c r="N212" s="729"/>
      <c r="O212" s="730"/>
      <c r="P212" s="729"/>
      <c r="Q212" s="731"/>
      <c r="R212" s="855" t="e">
        <f t="shared" si="27"/>
        <v>#DIV/0!</v>
      </c>
      <c r="S212" s="731"/>
      <c r="T212" s="729"/>
      <c r="U212" s="731"/>
      <c r="V212" s="731"/>
      <c r="W212" s="731"/>
      <c r="X212" s="729"/>
      <c r="Y212" s="729"/>
      <c r="Z212" s="729"/>
      <c r="AA212" s="729"/>
      <c r="AB212" s="247">
        <f>W212*1.4%</f>
        <v>0</v>
      </c>
      <c r="AC212" s="247">
        <f t="shared" si="28"/>
        <v>0</v>
      </c>
      <c r="AD212" s="763"/>
      <c r="AE212" s="764"/>
      <c r="AF212" s="729"/>
      <c r="AG212" s="729"/>
      <c r="AH212" s="729"/>
      <c r="AI212" s="753"/>
      <c r="AJ212" s="729"/>
    </row>
    <row r="213" spans="1:36" s="258" customFormat="1" ht="20.100000000000001" customHeight="1">
      <c r="A213" s="751"/>
      <c r="B213" s="729"/>
      <c r="C213" s="729"/>
      <c r="D213" s="732"/>
      <c r="E213" s="729"/>
      <c r="F213" s="729"/>
      <c r="G213" s="729"/>
      <c r="H213" s="729"/>
      <c r="I213" s="729"/>
      <c r="J213" s="729"/>
      <c r="K213" s="729"/>
      <c r="L213" s="729"/>
      <c r="M213" s="729"/>
      <c r="N213" s="729"/>
      <c r="O213" s="730"/>
      <c r="P213" s="729"/>
      <c r="Q213" s="731"/>
      <c r="R213" s="855" t="e">
        <f t="shared" si="27"/>
        <v>#DIV/0!</v>
      </c>
      <c r="S213" s="731"/>
      <c r="T213" s="729"/>
      <c r="U213" s="731"/>
      <c r="V213" s="755"/>
      <c r="W213" s="731"/>
      <c r="X213" s="729"/>
      <c r="Y213" s="729"/>
      <c r="Z213" s="729"/>
      <c r="AA213" s="729"/>
      <c r="AB213" s="247">
        <f t="shared" si="15"/>
        <v>0</v>
      </c>
      <c r="AC213" s="247">
        <f t="shared" si="28"/>
        <v>0</v>
      </c>
      <c r="AD213" s="763"/>
      <c r="AE213" s="764"/>
      <c r="AF213" s="729"/>
      <c r="AG213" s="729"/>
      <c r="AH213" s="729"/>
      <c r="AI213" s="753"/>
      <c r="AJ213" s="729"/>
    </row>
    <row r="214" spans="1:36" s="258" customFormat="1" ht="20.100000000000001" customHeight="1">
      <c r="A214" s="751"/>
      <c r="B214" s="729"/>
      <c r="C214" s="729"/>
      <c r="D214" s="732"/>
      <c r="E214" s="729"/>
      <c r="F214" s="729"/>
      <c r="G214" s="729"/>
      <c r="H214" s="729"/>
      <c r="I214" s="729"/>
      <c r="J214" s="729"/>
      <c r="K214" s="729"/>
      <c r="L214" s="729"/>
      <c r="M214" s="729"/>
      <c r="N214" s="729"/>
      <c r="O214" s="730"/>
      <c r="P214" s="729"/>
      <c r="Q214" s="731"/>
      <c r="R214" s="855" t="e">
        <f t="shared" si="27"/>
        <v>#DIV/0!</v>
      </c>
      <c r="S214" s="731"/>
      <c r="T214" s="729"/>
      <c r="U214" s="731"/>
      <c r="V214" s="755"/>
      <c r="W214" s="731"/>
      <c r="X214" s="729"/>
      <c r="Y214" s="729"/>
      <c r="Z214" s="729"/>
      <c r="AA214" s="729"/>
      <c r="AB214" s="247">
        <f t="shared" si="15"/>
        <v>0</v>
      </c>
      <c r="AC214" s="247">
        <f t="shared" si="28"/>
        <v>0</v>
      </c>
      <c r="AD214" s="763"/>
      <c r="AE214" s="764"/>
      <c r="AF214" s="729"/>
      <c r="AG214" s="729"/>
      <c r="AH214" s="729"/>
      <c r="AI214" s="753"/>
      <c r="AJ214" s="729"/>
    </row>
    <row r="215" spans="1:36" s="258" customFormat="1" ht="20.100000000000001" customHeight="1">
      <c r="A215" s="751"/>
      <c r="B215" s="729"/>
      <c r="C215" s="753"/>
      <c r="D215" s="732"/>
      <c r="E215" s="729"/>
      <c r="F215" s="746"/>
      <c r="G215" s="729"/>
      <c r="H215" s="729"/>
      <c r="I215" s="729"/>
      <c r="J215" s="729"/>
      <c r="K215" s="737"/>
      <c r="L215" s="729"/>
      <c r="M215" s="729"/>
      <c r="N215" s="729"/>
      <c r="O215" s="730"/>
      <c r="P215" s="729"/>
      <c r="Q215" s="731"/>
      <c r="R215" s="855" t="e">
        <f t="shared" si="27"/>
        <v>#DIV/0!</v>
      </c>
      <c r="S215" s="731"/>
      <c r="T215" s="729"/>
      <c r="U215" s="731"/>
      <c r="V215" s="731"/>
      <c r="W215" s="731"/>
      <c r="X215" s="729"/>
      <c r="Y215" s="729"/>
      <c r="Z215" s="729"/>
      <c r="AA215" s="729"/>
      <c r="AB215" s="247">
        <f t="shared" si="15"/>
        <v>0</v>
      </c>
      <c r="AC215" s="247">
        <f t="shared" si="28"/>
        <v>0</v>
      </c>
      <c r="AD215" s="763"/>
      <c r="AE215" s="764"/>
      <c r="AF215" s="729"/>
      <c r="AG215" s="729"/>
      <c r="AH215" s="729"/>
      <c r="AI215" s="753"/>
      <c r="AJ215" s="729"/>
    </row>
    <row r="216" spans="1:36" s="258" customFormat="1" ht="20.100000000000001" customHeight="1">
      <c r="A216" s="718"/>
      <c r="B216" s="729"/>
      <c r="C216" s="729"/>
      <c r="D216" s="732"/>
      <c r="E216" s="729"/>
      <c r="F216" s="746"/>
      <c r="G216" s="729"/>
      <c r="H216" s="729"/>
      <c r="I216" s="729"/>
      <c r="J216" s="729"/>
      <c r="K216" s="729"/>
      <c r="L216" s="729"/>
      <c r="M216" s="729"/>
      <c r="N216" s="729"/>
      <c r="O216" s="730"/>
      <c r="P216" s="729"/>
      <c r="Q216" s="731"/>
      <c r="R216" s="855" t="e">
        <f t="shared" si="27"/>
        <v>#DIV/0!</v>
      </c>
      <c r="S216" s="731"/>
      <c r="T216" s="729"/>
      <c r="U216" s="731"/>
      <c r="V216" s="755"/>
      <c r="W216" s="731"/>
      <c r="X216" s="729"/>
      <c r="Y216" s="729"/>
      <c r="Z216" s="729"/>
      <c r="AA216" s="729"/>
      <c r="AB216" s="247">
        <f>W216*1.9%</f>
        <v>0</v>
      </c>
      <c r="AC216" s="247">
        <f t="shared" si="28"/>
        <v>0</v>
      </c>
      <c r="AD216" s="763"/>
      <c r="AE216" s="764"/>
      <c r="AF216" s="729"/>
      <c r="AG216" s="729"/>
      <c r="AH216" s="729"/>
      <c r="AI216" s="753"/>
      <c r="AJ216" s="729"/>
    </row>
    <row r="217" spans="1:36" s="258" customFormat="1" ht="20.100000000000001" customHeight="1">
      <c r="A217" s="751"/>
      <c r="B217" s="729"/>
      <c r="C217" s="729"/>
      <c r="D217" s="732"/>
      <c r="E217" s="729"/>
      <c r="F217" s="729"/>
      <c r="G217" s="729"/>
      <c r="H217" s="729"/>
      <c r="I217" s="729"/>
      <c r="J217" s="729"/>
      <c r="K217" s="729"/>
      <c r="L217" s="729"/>
      <c r="M217" s="729"/>
      <c r="N217" s="729"/>
      <c r="O217" s="730"/>
      <c r="P217" s="729"/>
      <c r="Q217" s="731"/>
      <c r="R217" s="855" t="e">
        <f t="shared" si="27"/>
        <v>#DIV/0!</v>
      </c>
      <c r="S217" s="731"/>
      <c r="T217" s="729"/>
      <c r="U217" s="731"/>
      <c r="V217" s="755"/>
      <c r="W217" s="731"/>
      <c r="X217" s="729"/>
      <c r="Y217" s="729"/>
      <c r="Z217" s="729"/>
      <c r="AA217" s="729"/>
      <c r="AB217" s="247">
        <f t="shared" si="15"/>
        <v>0</v>
      </c>
      <c r="AC217" s="247">
        <f t="shared" si="28"/>
        <v>0</v>
      </c>
      <c r="AD217" s="763"/>
      <c r="AE217" s="764"/>
      <c r="AF217" s="729"/>
      <c r="AG217" s="729"/>
      <c r="AH217" s="729"/>
      <c r="AI217" s="753"/>
      <c r="AJ217" s="729"/>
    </row>
    <row r="218" spans="1:36" s="258" customFormat="1" ht="20.100000000000001" customHeight="1">
      <c r="A218" s="718"/>
      <c r="B218" s="729"/>
      <c r="C218" s="753"/>
      <c r="D218" s="732"/>
      <c r="E218" s="729"/>
      <c r="F218" s="746"/>
      <c r="G218" s="729"/>
      <c r="H218" s="729"/>
      <c r="I218" s="729"/>
      <c r="J218" s="729"/>
      <c r="K218" s="729"/>
      <c r="L218" s="729"/>
      <c r="M218" s="754"/>
      <c r="N218" s="729"/>
      <c r="O218" s="792"/>
      <c r="P218" s="729"/>
      <c r="Q218" s="731"/>
      <c r="R218" s="855" t="e">
        <f t="shared" si="27"/>
        <v>#DIV/0!</v>
      </c>
      <c r="S218" s="731"/>
      <c r="T218" s="729"/>
      <c r="U218" s="731"/>
      <c r="V218" s="755"/>
      <c r="W218" s="731"/>
      <c r="X218" s="729"/>
      <c r="Y218" s="729"/>
      <c r="Z218" s="729"/>
      <c r="AA218" s="729"/>
      <c r="AB218" s="247">
        <f>W218*0.15%</f>
        <v>0</v>
      </c>
      <c r="AC218" s="247">
        <f t="shared" si="28"/>
        <v>0</v>
      </c>
      <c r="AD218" s="763"/>
      <c r="AE218" s="764"/>
      <c r="AF218" s="729"/>
      <c r="AG218" s="729"/>
      <c r="AH218" s="729"/>
      <c r="AI218" s="753"/>
      <c r="AJ218" s="729"/>
    </row>
    <row r="219" spans="1:36" s="258" customFormat="1" ht="20.100000000000001" customHeight="1">
      <c r="A219" s="718"/>
      <c r="B219" s="729"/>
      <c r="C219" s="729"/>
      <c r="D219" s="732"/>
      <c r="E219" s="729"/>
      <c r="F219" s="746"/>
      <c r="G219" s="729"/>
      <c r="H219" s="729"/>
      <c r="I219" s="729"/>
      <c r="J219" s="729"/>
      <c r="K219" s="737"/>
      <c r="L219" s="729"/>
      <c r="M219" s="729"/>
      <c r="N219" s="729"/>
      <c r="O219" s="730"/>
      <c r="P219" s="729"/>
      <c r="Q219" s="731"/>
      <c r="R219" s="855" t="e">
        <f t="shared" si="27"/>
        <v>#DIV/0!</v>
      </c>
      <c r="S219" s="731"/>
      <c r="T219" s="754"/>
      <c r="U219" s="731"/>
      <c r="V219" s="755"/>
      <c r="W219" s="731"/>
      <c r="X219" s="729"/>
      <c r="Y219" s="729"/>
      <c r="Z219" s="729"/>
      <c r="AA219" s="729"/>
      <c r="AB219" s="247">
        <f>W219*0.15%</f>
        <v>0</v>
      </c>
      <c r="AC219" s="247">
        <f t="shared" si="28"/>
        <v>0</v>
      </c>
      <c r="AD219" s="763"/>
      <c r="AE219" s="764"/>
      <c r="AF219" s="729"/>
      <c r="AG219" s="729"/>
      <c r="AH219" s="729"/>
      <c r="AI219" s="753"/>
      <c r="AJ219" s="752"/>
    </row>
    <row r="220" spans="1:36" s="258" customFormat="1" ht="20.100000000000001" customHeight="1">
      <c r="A220" s="751"/>
      <c r="B220" s="729"/>
      <c r="C220" s="729"/>
      <c r="D220" s="732"/>
      <c r="E220" s="729"/>
      <c r="F220" s="729"/>
      <c r="G220" s="729"/>
      <c r="H220" s="729"/>
      <c r="I220" s="729"/>
      <c r="J220" s="729"/>
      <c r="K220" s="737"/>
      <c r="L220" s="729"/>
      <c r="M220" s="729"/>
      <c r="N220" s="729"/>
      <c r="O220" s="730"/>
      <c r="P220" s="729"/>
      <c r="Q220" s="731"/>
      <c r="R220" s="855" t="e">
        <f t="shared" si="27"/>
        <v>#DIV/0!</v>
      </c>
      <c r="S220" s="731"/>
      <c r="T220" s="729"/>
      <c r="U220" s="731"/>
      <c r="V220" s="755"/>
      <c r="W220" s="731"/>
      <c r="X220" s="729"/>
      <c r="Y220" s="729"/>
      <c r="Z220" s="729"/>
      <c r="AA220" s="729"/>
      <c r="AB220" s="247">
        <f t="shared" si="15"/>
        <v>0</v>
      </c>
      <c r="AC220" s="247">
        <f t="shared" si="28"/>
        <v>0</v>
      </c>
      <c r="AD220" s="763"/>
      <c r="AE220" s="764"/>
      <c r="AF220" s="729"/>
      <c r="AG220" s="729"/>
      <c r="AH220" s="729"/>
      <c r="AI220" s="753"/>
      <c r="AJ220" s="729"/>
    </row>
    <row r="221" spans="1:36" s="258" customFormat="1" ht="20.100000000000001" customHeight="1">
      <c r="A221" s="718"/>
      <c r="B221" s="754"/>
      <c r="C221" s="729"/>
      <c r="D221" s="732"/>
      <c r="E221" s="729"/>
      <c r="F221" s="729"/>
      <c r="G221" s="729"/>
      <c r="H221" s="729"/>
      <c r="I221" s="729"/>
      <c r="J221" s="729"/>
      <c r="K221" s="729"/>
      <c r="L221" s="729"/>
      <c r="M221" s="729"/>
      <c r="N221" s="729"/>
      <c r="O221" s="730"/>
      <c r="P221" s="729"/>
      <c r="Q221" s="731"/>
      <c r="R221" s="855" t="e">
        <f t="shared" si="27"/>
        <v>#DIV/0!</v>
      </c>
      <c r="S221" s="731"/>
      <c r="T221" s="729"/>
      <c r="U221" s="731"/>
      <c r="V221" s="755"/>
      <c r="W221" s="731"/>
      <c r="X221" s="729"/>
      <c r="Y221" s="729"/>
      <c r="Z221" s="729"/>
      <c r="AA221" s="729"/>
      <c r="AB221" s="247">
        <f t="shared" si="15"/>
        <v>0</v>
      </c>
      <c r="AC221" s="247">
        <f t="shared" si="28"/>
        <v>0</v>
      </c>
      <c r="AD221" s="763"/>
      <c r="AE221" s="764"/>
      <c r="AF221" s="729"/>
      <c r="AG221" s="729"/>
      <c r="AH221" s="729"/>
      <c r="AI221" s="753"/>
      <c r="AJ221" s="729"/>
    </row>
    <row r="222" spans="1:36" s="258" customFormat="1" ht="20.100000000000001" customHeight="1">
      <c r="A222" s="718"/>
      <c r="B222" s="729"/>
      <c r="C222" s="729"/>
      <c r="D222" s="732"/>
      <c r="E222" s="729"/>
      <c r="F222" s="746"/>
      <c r="G222" s="729"/>
      <c r="H222" s="729"/>
      <c r="I222" s="729"/>
      <c r="J222" s="729"/>
      <c r="K222" s="737"/>
      <c r="L222" s="729"/>
      <c r="M222" s="729"/>
      <c r="N222" s="729"/>
      <c r="O222" s="730"/>
      <c r="P222" s="729"/>
      <c r="Q222" s="731"/>
      <c r="R222" s="855" t="e">
        <f t="shared" si="27"/>
        <v>#DIV/0!</v>
      </c>
      <c r="S222" s="731"/>
      <c r="T222" s="729"/>
      <c r="U222" s="731"/>
      <c r="V222" s="755"/>
      <c r="W222" s="731"/>
      <c r="X222" s="729"/>
      <c r="Y222" s="729"/>
      <c r="Z222" s="729"/>
      <c r="AA222" s="729"/>
      <c r="AB222" s="247">
        <f>W222*1.9%</f>
        <v>0</v>
      </c>
      <c r="AC222" s="247">
        <f t="shared" si="28"/>
        <v>0</v>
      </c>
      <c r="AD222" s="763"/>
      <c r="AE222" s="764"/>
      <c r="AF222" s="729"/>
      <c r="AG222" s="729"/>
      <c r="AH222" s="729"/>
      <c r="AI222" s="753"/>
      <c r="AJ222" s="729"/>
    </row>
    <row r="223" spans="1:36" s="258" customFormat="1" ht="20.100000000000001" customHeight="1">
      <c r="A223" s="718"/>
      <c r="B223" s="729"/>
      <c r="C223" s="729"/>
      <c r="D223" s="732"/>
      <c r="E223" s="729"/>
      <c r="F223" s="746"/>
      <c r="G223" s="729"/>
      <c r="H223" s="729"/>
      <c r="I223" s="729"/>
      <c r="J223" s="729"/>
      <c r="K223" s="737"/>
      <c r="L223" s="729"/>
      <c r="M223" s="729"/>
      <c r="N223" s="729"/>
      <c r="O223" s="730"/>
      <c r="P223" s="729"/>
      <c r="Q223" s="731"/>
      <c r="R223" s="855" t="e">
        <f t="shared" si="27"/>
        <v>#DIV/0!</v>
      </c>
      <c r="S223" s="731"/>
      <c r="T223" s="729"/>
      <c r="U223" s="731"/>
      <c r="V223" s="755"/>
      <c r="W223" s="731"/>
      <c r="X223" s="729"/>
      <c r="Y223" s="729"/>
      <c r="Z223" s="729"/>
      <c r="AA223" s="729"/>
      <c r="AB223" s="247">
        <f>W223*0.15%</f>
        <v>0</v>
      </c>
      <c r="AC223" s="247">
        <f t="shared" si="28"/>
        <v>0</v>
      </c>
      <c r="AD223" s="763"/>
      <c r="AE223" s="764"/>
      <c r="AF223" s="729"/>
      <c r="AG223" s="729"/>
      <c r="AH223" s="729"/>
      <c r="AI223" s="753"/>
      <c r="AJ223" s="754"/>
    </row>
    <row r="224" spans="1:36" s="258" customFormat="1" ht="20.100000000000001" customHeight="1">
      <c r="A224" s="718"/>
      <c r="B224" s="729"/>
      <c r="C224" s="729"/>
      <c r="D224" s="732"/>
      <c r="E224" s="729"/>
      <c r="F224" s="729"/>
      <c r="G224" s="729"/>
      <c r="H224" s="729"/>
      <c r="I224" s="729"/>
      <c r="J224" s="729"/>
      <c r="K224" s="729"/>
      <c r="L224" s="729"/>
      <c r="M224" s="734"/>
      <c r="N224" s="729"/>
      <c r="O224" s="735"/>
      <c r="P224" s="729"/>
      <c r="Q224" s="731"/>
      <c r="R224" s="855" t="e">
        <f t="shared" si="27"/>
        <v>#DIV/0!</v>
      </c>
      <c r="S224" s="731"/>
      <c r="T224" s="729"/>
      <c r="U224" s="731"/>
      <c r="V224" s="755"/>
      <c r="W224" s="755"/>
      <c r="X224" s="729"/>
      <c r="Y224" s="729"/>
      <c r="Z224" s="729"/>
      <c r="AA224" s="729"/>
      <c r="AB224" s="247">
        <f>W224*2.25%</f>
        <v>0</v>
      </c>
      <c r="AC224" s="247">
        <f t="shared" si="28"/>
        <v>0</v>
      </c>
      <c r="AD224" s="763"/>
      <c r="AE224" s="764"/>
      <c r="AF224" s="729"/>
      <c r="AG224" s="729"/>
      <c r="AH224" s="729"/>
      <c r="AI224" s="753"/>
      <c r="AJ224" s="729"/>
    </row>
    <row r="225" spans="1:36" s="258" customFormat="1" ht="20.100000000000001" customHeight="1">
      <c r="A225" s="718"/>
      <c r="B225" s="729"/>
      <c r="C225" s="729"/>
      <c r="D225" s="732"/>
      <c r="E225" s="729"/>
      <c r="F225" s="746"/>
      <c r="G225" s="729"/>
      <c r="H225" s="729"/>
      <c r="I225" s="729"/>
      <c r="J225" s="729"/>
      <c r="K225" s="746"/>
      <c r="L225" s="729"/>
      <c r="M225" s="729"/>
      <c r="N225" s="729"/>
      <c r="O225" s="730"/>
      <c r="P225" s="729"/>
      <c r="Q225" s="731"/>
      <c r="R225" s="855" t="e">
        <f t="shared" si="27"/>
        <v>#DIV/0!</v>
      </c>
      <c r="S225" s="731"/>
      <c r="T225" s="729"/>
      <c r="U225" s="731"/>
      <c r="V225" s="755"/>
      <c r="W225" s="731"/>
      <c r="X225" s="729"/>
      <c r="Y225" s="729"/>
      <c r="Z225" s="729"/>
      <c r="AA225" s="729"/>
      <c r="AB225" s="247">
        <f t="shared" si="15"/>
        <v>0</v>
      </c>
      <c r="AC225" s="247">
        <f t="shared" si="28"/>
        <v>0</v>
      </c>
      <c r="AD225" s="763"/>
      <c r="AE225" s="764"/>
      <c r="AF225" s="729"/>
      <c r="AG225" s="729"/>
      <c r="AH225" s="729"/>
      <c r="AI225" s="753"/>
      <c r="AJ225" s="729"/>
    </row>
    <row r="226" spans="1:36" s="258" customFormat="1" ht="20.100000000000001" customHeight="1">
      <c r="A226" s="751"/>
      <c r="B226" s="729"/>
      <c r="C226" s="729"/>
      <c r="D226" s="732"/>
      <c r="E226" s="729"/>
      <c r="F226" s="746"/>
      <c r="G226" s="729"/>
      <c r="H226" s="729"/>
      <c r="I226" s="729"/>
      <c r="J226" s="729"/>
      <c r="K226" s="746"/>
      <c r="L226" s="729"/>
      <c r="M226" s="729"/>
      <c r="N226" s="729"/>
      <c r="O226" s="730"/>
      <c r="P226" s="729"/>
      <c r="Q226" s="731"/>
      <c r="R226" s="855" t="e">
        <f t="shared" si="27"/>
        <v>#DIV/0!</v>
      </c>
      <c r="S226" s="731"/>
      <c r="T226" s="729"/>
      <c r="U226" s="731"/>
      <c r="V226" s="755"/>
      <c r="W226" s="731"/>
      <c r="X226" s="729"/>
      <c r="Y226" s="729"/>
      <c r="Z226" s="729"/>
      <c r="AA226" s="729"/>
      <c r="AB226" s="247">
        <f>W226*0.15%</f>
        <v>0</v>
      </c>
      <c r="AC226" s="247">
        <f t="shared" si="28"/>
        <v>0</v>
      </c>
      <c r="AD226" s="763"/>
      <c r="AE226" s="764"/>
      <c r="AF226" s="729"/>
      <c r="AG226" s="729"/>
      <c r="AH226" s="729"/>
      <c r="AI226" s="753"/>
      <c r="AJ226" s="729"/>
    </row>
    <row r="227" spans="1:36" s="258" customFormat="1" ht="20.100000000000001" customHeight="1">
      <c r="A227" s="745"/>
      <c r="B227" s="746"/>
      <c r="C227" s="746"/>
      <c r="D227" s="747"/>
      <c r="E227" s="746"/>
      <c r="F227" s="746"/>
      <c r="G227" s="746"/>
      <c r="H227" s="746"/>
      <c r="I227" s="746"/>
      <c r="J227" s="746"/>
      <c r="K227" s="737"/>
      <c r="L227" s="746"/>
      <c r="M227" s="746"/>
      <c r="N227" s="746"/>
      <c r="O227" s="749"/>
      <c r="P227" s="746"/>
      <c r="Q227" s="750"/>
      <c r="R227" s="855" t="e">
        <f t="shared" si="27"/>
        <v>#DIV/0!</v>
      </c>
      <c r="S227" s="750"/>
      <c r="T227" s="746"/>
      <c r="U227" s="750"/>
      <c r="V227" s="758"/>
      <c r="W227" s="750"/>
      <c r="X227" s="746"/>
      <c r="Y227" s="746"/>
      <c r="Z227" s="746"/>
      <c r="AA227" s="746"/>
      <c r="AB227" s="247">
        <f t="shared" ref="AB227:AB262" si="29">W227*1.3%</f>
        <v>0</v>
      </c>
      <c r="AC227" s="247">
        <f t="shared" si="28"/>
        <v>0</v>
      </c>
      <c r="AD227" s="770"/>
      <c r="AE227" s="771"/>
      <c r="AF227" s="746"/>
      <c r="AG227" s="746"/>
      <c r="AH227" s="746"/>
      <c r="AI227" s="753"/>
      <c r="AJ227" s="760"/>
    </row>
    <row r="228" spans="1:36" s="258" customFormat="1" ht="20.100000000000001" customHeight="1">
      <c r="A228" s="745"/>
      <c r="B228" s="746"/>
      <c r="C228" s="746"/>
      <c r="D228" s="747"/>
      <c r="E228" s="746"/>
      <c r="F228" s="746"/>
      <c r="G228" s="746"/>
      <c r="H228" s="746"/>
      <c r="I228" s="746"/>
      <c r="J228" s="746"/>
      <c r="K228" s="746"/>
      <c r="L228" s="746"/>
      <c r="M228" s="746"/>
      <c r="N228" s="746"/>
      <c r="O228" s="749"/>
      <c r="P228" s="746"/>
      <c r="Q228" s="750"/>
      <c r="R228" s="855" t="e">
        <f t="shared" si="27"/>
        <v>#DIV/0!</v>
      </c>
      <c r="S228" s="750"/>
      <c r="T228" s="746"/>
      <c r="U228" s="750"/>
      <c r="V228" s="758"/>
      <c r="W228" s="750"/>
      <c r="X228" s="746"/>
      <c r="Y228" s="746"/>
      <c r="Z228" s="746"/>
      <c r="AA228" s="746"/>
      <c r="AB228" s="247">
        <f t="shared" si="29"/>
        <v>0</v>
      </c>
      <c r="AC228" s="247">
        <f t="shared" si="28"/>
        <v>0</v>
      </c>
      <c r="AD228" s="770"/>
      <c r="AE228" s="771"/>
      <c r="AF228" s="746"/>
      <c r="AG228" s="746"/>
      <c r="AH228" s="746"/>
      <c r="AI228" s="772"/>
      <c r="AJ228" s="746"/>
    </row>
    <row r="229" spans="1:36" s="258" customFormat="1" ht="20.100000000000001" customHeight="1">
      <c r="A229" s="745"/>
      <c r="B229" s="746"/>
      <c r="C229" s="746"/>
      <c r="D229" s="747"/>
      <c r="E229" s="746"/>
      <c r="F229" s="746"/>
      <c r="G229" s="746"/>
      <c r="H229" s="746"/>
      <c r="I229" s="746"/>
      <c r="J229" s="746"/>
      <c r="K229" s="746"/>
      <c r="L229" s="746"/>
      <c r="M229" s="746"/>
      <c r="N229" s="746"/>
      <c r="O229" s="749"/>
      <c r="P229" s="746"/>
      <c r="Q229" s="750"/>
      <c r="R229" s="855" t="e">
        <f t="shared" si="27"/>
        <v>#DIV/0!</v>
      </c>
      <c r="S229" s="750"/>
      <c r="T229" s="746"/>
      <c r="U229" s="750"/>
      <c r="V229" s="758"/>
      <c r="W229" s="750"/>
      <c r="X229" s="746"/>
      <c r="Y229" s="746"/>
      <c r="Z229" s="746"/>
      <c r="AA229" s="746"/>
      <c r="AB229" s="247">
        <f t="shared" si="29"/>
        <v>0</v>
      </c>
      <c r="AC229" s="247">
        <f t="shared" si="28"/>
        <v>0</v>
      </c>
      <c r="AD229" s="770"/>
      <c r="AE229" s="771"/>
      <c r="AF229" s="746"/>
      <c r="AG229" s="746"/>
      <c r="AH229" s="746"/>
      <c r="AI229" s="772"/>
      <c r="AJ229" s="746"/>
    </row>
    <row r="230" spans="1:36" s="258" customFormat="1" ht="20.100000000000001" customHeight="1">
      <c r="A230" s="745"/>
      <c r="B230" s="746"/>
      <c r="C230" s="746"/>
      <c r="D230" s="747"/>
      <c r="E230" s="746"/>
      <c r="F230" s="746"/>
      <c r="G230" s="746"/>
      <c r="H230" s="746"/>
      <c r="I230" s="746"/>
      <c r="J230" s="746"/>
      <c r="K230" s="746"/>
      <c r="L230" s="746"/>
      <c r="M230" s="746"/>
      <c r="N230" s="746"/>
      <c r="O230" s="749"/>
      <c r="P230" s="746"/>
      <c r="Q230" s="750"/>
      <c r="R230" s="855" t="e">
        <f t="shared" si="27"/>
        <v>#DIV/0!</v>
      </c>
      <c r="S230" s="750"/>
      <c r="T230" s="746"/>
      <c r="U230" s="750"/>
      <c r="V230" s="758"/>
      <c r="W230" s="750"/>
      <c r="X230" s="746"/>
      <c r="Y230" s="746"/>
      <c r="Z230" s="746"/>
      <c r="AA230" s="746"/>
      <c r="AB230" s="247">
        <f t="shared" si="29"/>
        <v>0</v>
      </c>
      <c r="AC230" s="247">
        <f t="shared" si="28"/>
        <v>0</v>
      </c>
      <c r="AD230" s="770"/>
      <c r="AE230" s="771"/>
      <c r="AF230" s="746"/>
      <c r="AG230" s="746"/>
      <c r="AH230" s="746"/>
      <c r="AI230" s="772"/>
      <c r="AJ230" s="746"/>
    </row>
    <row r="231" spans="1:36" s="258" customFormat="1" ht="20.100000000000001" customHeight="1">
      <c r="A231" s="745"/>
      <c r="B231" s="746"/>
      <c r="C231" s="746"/>
      <c r="D231" s="747"/>
      <c r="E231" s="746"/>
      <c r="F231" s="746"/>
      <c r="G231" s="746"/>
      <c r="H231" s="746"/>
      <c r="I231" s="746"/>
      <c r="J231" s="746"/>
      <c r="K231" s="737"/>
      <c r="L231" s="746"/>
      <c r="M231" s="746"/>
      <c r="N231" s="746"/>
      <c r="O231" s="749"/>
      <c r="P231" s="746"/>
      <c r="Q231" s="750"/>
      <c r="R231" s="855" t="e">
        <f t="shared" si="27"/>
        <v>#DIV/0!</v>
      </c>
      <c r="S231" s="750"/>
      <c r="T231" s="746"/>
      <c r="U231" s="750"/>
      <c r="V231" s="758"/>
      <c r="W231" s="750"/>
      <c r="X231" s="746"/>
      <c r="Y231" s="746"/>
      <c r="Z231" s="746"/>
      <c r="AA231" s="746"/>
      <c r="AB231" s="247">
        <f t="shared" si="29"/>
        <v>0</v>
      </c>
      <c r="AC231" s="247">
        <f t="shared" si="28"/>
        <v>0</v>
      </c>
      <c r="AD231" s="770"/>
      <c r="AE231" s="771"/>
      <c r="AF231" s="746"/>
      <c r="AG231" s="746"/>
      <c r="AH231" s="746"/>
      <c r="AI231" s="753"/>
      <c r="AJ231" s="760"/>
    </row>
    <row r="232" spans="1:36" s="258" customFormat="1" ht="20.100000000000001" customHeight="1">
      <c r="A232" s="745"/>
      <c r="B232" s="746"/>
      <c r="C232" s="746"/>
      <c r="D232" s="747"/>
      <c r="E232" s="746"/>
      <c r="F232" s="746"/>
      <c r="G232" s="746"/>
      <c r="H232" s="746"/>
      <c r="I232" s="746"/>
      <c r="J232" s="746"/>
      <c r="K232" s="737"/>
      <c r="L232" s="746"/>
      <c r="M232" s="746"/>
      <c r="N232" s="746"/>
      <c r="O232" s="749"/>
      <c r="P232" s="746"/>
      <c r="Q232" s="750"/>
      <c r="R232" s="855" t="e">
        <f t="shared" si="27"/>
        <v>#DIV/0!</v>
      </c>
      <c r="S232" s="750"/>
      <c r="T232" s="746"/>
      <c r="U232" s="750"/>
      <c r="V232" s="758"/>
      <c r="W232" s="750"/>
      <c r="X232" s="746"/>
      <c r="Y232" s="746"/>
      <c r="Z232" s="746"/>
      <c r="AA232" s="746"/>
      <c r="AB232" s="247">
        <f t="shared" si="29"/>
        <v>0</v>
      </c>
      <c r="AC232" s="247">
        <f t="shared" si="28"/>
        <v>0</v>
      </c>
      <c r="AD232" s="770"/>
      <c r="AE232" s="771"/>
      <c r="AF232" s="746"/>
      <c r="AG232" s="746"/>
      <c r="AH232" s="746"/>
      <c r="AI232" s="753"/>
      <c r="AJ232" s="746"/>
    </row>
    <row r="233" spans="1:36" s="258" customFormat="1" ht="20.100000000000001" customHeight="1">
      <c r="A233" s="745"/>
      <c r="B233" s="746"/>
      <c r="C233" s="746"/>
      <c r="D233" s="747"/>
      <c r="E233" s="746"/>
      <c r="F233" s="746"/>
      <c r="G233" s="746"/>
      <c r="H233" s="746"/>
      <c r="I233" s="746"/>
      <c r="J233" s="746"/>
      <c r="K233" s="746"/>
      <c r="L233" s="746"/>
      <c r="M233" s="746"/>
      <c r="N233" s="746"/>
      <c r="O233" s="749"/>
      <c r="P233" s="746"/>
      <c r="Q233" s="750"/>
      <c r="R233" s="855" t="e">
        <f t="shared" si="27"/>
        <v>#DIV/0!</v>
      </c>
      <c r="S233" s="750"/>
      <c r="T233" s="746"/>
      <c r="U233" s="750"/>
      <c r="V233" s="758"/>
      <c r="W233" s="750"/>
      <c r="X233" s="746"/>
      <c r="Y233" s="746"/>
      <c r="Z233" s="746"/>
      <c r="AA233" s="746"/>
      <c r="AB233" s="247">
        <f t="shared" si="29"/>
        <v>0</v>
      </c>
      <c r="AC233" s="247">
        <f t="shared" si="28"/>
        <v>0</v>
      </c>
      <c r="AD233" s="770"/>
      <c r="AE233" s="771"/>
      <c r="AF233" s="746"/>
      <c r="AG233" s="746"/>
      <c r="AH233" s="746"/>
      <c r="AI233" s="772"/>
      <c r="AJ233" s="746"/>
    </row>
    <row r="234" spans="1:36" s="258" customFormat="1" ht="20.100000000000001" customHeight="1">
      <c r="A234" s="745"/>
      <c r="B234" s="746"/>
      <c r="C234" s="746"/>
      <c r="D234" s="747"/>
      <c r="E234" s="746"/>
      <c r="F234" s="746"/>
      <c r="G234" s="746"/>
      <c r="H234" s="746"/>
      <c r="I234" s="746"/>
      <c r="J234" s="746"/>
      <c r="K234" s="746"/>
      <c r="L234" s="746"/>
      <c r="M234" s="746"/>
      <c r="N234" s="746"/>
      <c r="O234" s="749"/>
      <c r="P234" s="746"/>
      <c r="Q234" s="750"/>
      <c r="R234" s="855" t="e">
        <f t="shared" ref="R234:R254" si="30">(Q234-S234)/Q234*100</f>
        <v>#DIV/0!</v>
      </c>
      <c r="S234" s="750"/>
      <c r="T234" s="746"/>
      <c r="U234" s="750"/>
      <c r="V234" s="758"/>
      <c r="W234" s="750"/>
      <c r="X234" s="746"/>
      <c r="Y234" s="746"/>
      <c r="Z234" s="746"/>
      <c r="AA234" s="746"/>
      <c r="AB234" s="247">
        <f t="shared" si="29"/>
        <v>0</v>
      </c>
      <c r="AC234" s="247">
        <f t="shared" si="28"/>
        <v>0</v>
      </c>
      <c r="AD234" s="770"/>
      <c r="AE234" s="771"/>
      <c r="AF234" s="746"/>
      <c r="AG234" s="746"/>
      <c r="AH234" s="746"/>
      <c r="AI234" s="772"/>
      <c r="AJ234" s="746"/>
    </row>
    <row r="235" spans="1:36" s="258" customFormat="1" ht="20.100000000000001" customHeight="1">
      <c r="A235" s="745"/>
      <c r="B235" s="746"/>
      <c r="C235" s="746"/>
      <c r="D235" s="747"/>
      <c r="E235" s="746"/>
      <c r="F235" s="746"/>
      <c r="G235" s="746"/>
      <c r="H235" s="746"/>
      <c r="I235" s="746"/>
      <c r="J235" s="746"/>
      <c r="K235" s="737"/>
      <c r="L235" s="746"/>
      <c r="M235" s="746"/>
      <c r="N235" s="746"/>
      <c r="O235" s="749"/>
      <c r="P235" s="746"/>
      <c r="Q235" s="750"/>
      <c r="R235" s="855" t="e">
        <f t="shared" si="30"/>
        <v>#DIV/0!</v>
      </c>
      <c r="S235" s="750"/>
      <c r="T235" s="746"/>
      <c r="U235" s="750"/>
      <c r="V235" s="758"/>
      <c r="W235" s="750"/>
      <c r="X235" s="746"/>
      <c r="Y235" s="746"/>
      <c r="Z235" s="746"/>
      <c r="AA235" s="746"/>
      <c r="AB235" s="247">
        <f t="shared" si="29"/>
        <v>0</v>
      </c>
      <c r="AC235" s="247">
        <f t="shared" si="28"/>
        <v>0</v>
      </c>
      <c r="AD235" s="770"/>
      <c r="AE235" s="771"/>
      <c r="AF235" s="746"/>
      <c r="AG235" s="746"/>
      <c r="AH235" s="746"/>
      <c r="AI235" s="753"/>
      <c r="AJ235" s="760"/>
    </row>
    <row r="236" spans="1:36" s="258" customFormat="1" ht="20.100000000000001" customHeight="1">
      <c r="A236" s="745"/>
      <c r="B236" s="746"/>
      <c r="C236" s="746"/>
      <c r="D236" s="747"/>
      <c r="E236" s="746"/>
      <c r="F236" s="746"/>
      <c r="G236" s="746"/>
      <c r="H236" s="746"/>
      <c r="I236" s="746"/>
      <c r="J236" s="746"/>
      <c r="K236" s="737"/>
      <c r="L236" s="746"/>
      <c r="M236" s="746"/>
      <c r="N236" s="746"/>
      <c r="O236" s="749"/>
      <c r="P236" s="746"/>
      <c r="Q236" s="750"/>
      <c r="R236" s="855" t="e">
        <f t="shared" si="30"/>
        <v>#DIV/0!</v>
      </c>
      <c r="S236" s="750"/>
      <c r="T236" s="746"/>
      <c r="U236" s="750"/>
      <c r="V236" s="758"/>
      <c r="W236" s="750"/>
      <c r="X236" s="746"/>
      <c r="Y236" s="746"/>
      <c r="Z236" s="746"/>
      <c r="AA236" s="746"/>
      <c r="AB236" s="247">
        <f t="shared" si="29"/>
        <v>0</v>
      </c>
      <c r="AC236" s="247">
        <f t="shared" si="28"/>
        <v>0</v>
      </c>
      <c r="AD236" s="770"/>
      <c r="AE236" s="771"/>
      <c r="AF236" s="746"/>
      <c r="AG236" s="746"/>
      <c r="AH236" s="746"/>
      <c r="AI236" s="753"/>
      <c r="AJ236" s="746"/>
    </row>
    <row r="237" spans="1:36" s="258" customFormat="1" ht="20.100000000000001" customHeight="1">
      <c r="A237" s="745"/>
      <c r="B237" s="746"/>
      <c r="C237" s="746"/>
      <c r="D237" s="747"/>
      <c r="E237" s="746"/>
      <c r="F237" s="746"/>
      <c r="G237" s="746"/>
      <c r="H237" s="746"/>
      <c r="I237" s="746"/>
      <c r="J237" s="746"/>
      <c r="K237" s="737"/>
      <c r="L237" s="746"/>
      <c r="M237" s="746"/>
      <c r="N237" s="746"/>
      <c r="O237" s="749"/>
      <c r="P237" s="746"/>
      <c r="Q237" s="750"/>
      <c r="R237" s="855" t="e">
        <f t="shared" si="30"/>
        <v>#DIV/0!</v>
      </c>
      <c r="S237" s="750"/>
      <c r="T237" s="746"/>
      <c r="U237" s="750"/>
      <c r="V237" s="758"/>
      <c r="W237" s="750"/>
      <c r="X237" s="746"/>
      <c r="Y237" s="746"/>
      <c r="Z237" s="746"/>
      <c r="AA237" s="746"/>
      <c r="AB237" s="247">
        <f t="shared" si="29"/>
        <v>0</v>
      </c>
      <c r="AC237" s="247">
        <f t="shared" si="28"/>
        <v>0</v>
      </c>
      <c r="AD237" s="770"/>
      <c r="AE237" s="771"/>
      <c r="AF237" s="746"/>
      <c r="AG237" s="746"/>
      <c r="AH237" s="746"/>
      <c r="AI237" s="753"/>
      <c r="AJ237" s="746"/>
    </row>
    <row r="238" spans="1:36" s="258" customFormat="1" ht="20.100000000000001" customHeight="1">
      <c r="A238" s="745"/>
      <c r="B238" s="746"/>
      <c r="C238" s="746"/>
      <c r="D238" s="747"/>
      <c r="E238" s="746"/>
      <c r="F238" s="746"/>
      <c r="G238" s="746"/>
      <c r="H238" s="746"/>
      <c r="I238" s="746"/>
      <c r="J238" s="746"/>
      <c r="K238" s="746"/>
      <c r="L238" s="746"/>
      <c r="M238" s="746"/>
      <c r="N238" s="746"/>
      <c r="O238" s="749"/>
      <c r="P238" s="746"/>
      <c r="Q238" s="750"/>
      <c r="R238" s="855" t="e">
        <f t="shared" si="30"/>
        <v>#DIV/0!</v>
      </c>
      <c r="S238" s="750"/>
      <c r="T238" s="746"/>
      <c r="U238" s="750"/>
      <c r="V238" s="758"/>
      <c r="W238" s="750"/>
      <c r="X238" s="746"/>
      <c r="Y238" s="746"/>
      <c r="Z238" s="746"/>
      <c r="AA238" s="746"/>
      <c r="AB238" s="247">
        <f t="shared" si="29"/>
        <v>0</v>
      </c>
      <c r="AC238" s="247">
        <f t="shared" si="28"/>
        <v>0</v>
      </c>
      <c r="AD238" s="770"/>
      <c r="AE238" s="771"/>
      <c r="AF238" s="746"/>
      <c r="AG238" s="746"/>
      <c r="AH238" s="746"/>
      <c r="AI238" s="772"/>
      <c r="AJ238" s="746"/>
    </row>
    <row r="239" spans="1:36" s="258" customFormat="1" ht="20.100000000000001" customHeight="1">
      <c r="A239" s="745"/>
      <c r="B239" s="746"/>
      <c r="C239" s="746"/>
      <c r="D239" s="747"/>
      <c r="E239" s="746"/>
      <c r="F239" s="746"/>
      <c r="G239" s="746"/>
      <c r="H239" s="746"/>
      <c r="I239" s="746"/>
      <c r="J239" s="746"/>
      <c r="K239" s="746"/>
      <c r="L239" s="746"/>
      <c r="M239" s="760"/>
      <c r="N239" s="746"/>
      <c r="O239" s="749"/>
      <c r="P239" s="746"/>
      <c r="Q239" s="750"/>
      <c r="R239" s="855" t="e">
        <f t="shared" si="30"/>
        <v>#DIV/0!</v>
      </c>
      <c r="S239" s="750"/>
      <c r="T239" s="746"/>
      <c r="U239" s="750"/>
      <c r="V239" s="758"/>
      <c r="W239" s="750"/>
      <c r="X239" s="746"/>
      <c r="Y239" s="746"/>
      <c r="Z239" s="746"/>
      <c r="AA239" s="746"/>
      <c r="AB239" s="247">
        <f t="shared" si="29"/>
        <v>0</v>
      </c>
      <c r="AC239" s="247">
        <f t="shared" si="28"/>
        <v>0</v>
      </c>
      <c r="AD239" s="770"/>
      <c r="AE239" s="771"/>
      <c r="AF239" s="771"/>
      <c r="AG239" s="771"/>
      <c r="AH239" s="746"/>
      <c r="AI239" s="772"/>
      <c r="AJ239" s="760"/>
    </row>
    <row r="240" spans="1:36" s="258" customFormat="1" ht="20.100000000000001" customHeight="1">
      <c r="A240" s="745"/>
      <c r="B240" s="746"/>
      <c r="C240" s="746"/>
      <c r="D240" s="747"/>
      <c r="E240" s="746"/>
      <c r="F240" s="746"/>
      <c r="G240" s="746"/>
      <c r="H240" s="746"/>
      <c r="I240" s="746"/>
      <c r="J240" s="746"/>
      <c r="K240" s="746"/>
      <c r="L240" s="746"/>
      <c r="M240" s="760"/>
      <c r="N240" s="746"/>
      <c r="O240" s="749"/>
      <c r="P240" s="746"/>
      <c r="Q240" s="750"/>
      <c r="R240" s="855" t="e">
        <f t="shared" si="30"/>
        <v>#DIV/0!</v>
      </c>
      <c r="S240" s="750"/>
      <c r="T240" s="746"/>
      <c r="U240" s="750"/>
      <c r="V240" s="758"/>
      <c r="W240" s="750"/>
      <c r="X240" s="746"/>
      <c r="Y240" s="746"/>
      <c r="Z240" s="746"/>
      <c r="AA240" s="746"/>
      <c r="AB240" s="247">
        <f t="shared" si="29"/>
        <v>0</v>
      </c>
      <c r="AC240" s="247">
        <f t="shared" si="28"/>
        <v>0</v>
      </c>
      <c r="AD240" s="770"/>
      <c r="AE240" s="771"/>
      <c r="AF240" s="771"/>
      <c r="AG240" s="771"/>
      <c r="AH240" s="746"/>
      <c r="AI240" s="772"/>
      <c r="AJ240" s="760"/>
    </row>
    <row r="241" spans="1:36" s="258" customFormat="1" ht="20.100000000000001" customHeight="1">
      <c r="A241" s="718"/>
      <c r="B241" s="746"/>
      <c r="C241" s="746"/>
      <c r="D241" s="747"/>
      <c r="E241" s="746"/>
      <c r="F241" s="746"/>
      <c r="G241" s="746"/>
      <c r="H241" s="746"/>
      <c r="I241" s="746"/>
      <c r="J241" s="746"/>
      <c r="K241" s="737"/>
      <c r="L241" s="746"/>
      <c r="M241" s="746"/>
      <c r="N241" s="746"/>
      <c r="O241" s="749"/>
      <c r="P241" s="746"/>
      <c r="Q241" s="750"/>
      <c r="R241" s="855" t="e">
        <f t="shared" si="30"/>
        <v>#DIV/0!</v>
      </c>
      <c r="S241" s="750"/>
      <c r="T241" s="746"/>
      <c r="U241" s="750"/>
      <c r="V241" s="758"/>
      <c r="W241" s="750"/>
      <c r="X241" s="746"/>
      <c r="Y241" s="746"/>
      <c r="Z241" s="746"/>
      <c r="AA241" s="746"/>
      <c r="AB241" s="247">
        <f t="shared" si="29"/>
        <v>0</v>
      </c>
      <c r="AC241" s="247">
        <f t="shared" si="28"/>
        <v>0</v>
      </c>
      <c r="AD241" s="770"/>
      <c r="AE241" s="771"/>
      <c r="AF241" s="746"/>
      <c r="AG241" s="746"/>
      <c r="AH241" s="746"/>
      <c r="AI241" s="772"/>
      <c r="AJ241" s="760"/>
    </row>
    <row r="242" spans="1:36" s="258" customFormat="1" ht="20.100000000000001" customHeight="1">
      <c r="A242" s="745"/>
      <c r="B242" s="746"/>
      <c r="C242" s="746"/>
      <c r="D242" s="747"/>
      <c r="E242" s="746"/>
      <c r="F242" s="746"/>
      <c r="G242" s="746"/>
      <c r="H242" s="746"/>
      <c r="I242" s="746"/>
      <c r="J242" s="746"/>
      <c r="K242" s="746"/>
      <c r="L242" s="746"/>
      <c r="M242" s="746"/>
      <c r="N242" s="746"/>
      <c r="O242" s="749"/>
      <c r="P242" s="746"/>
      <c r="Q242" s="750"/>
      <c r="R242" s="855" t="e">
        <f t="shared" si="30"/>
        <v>#DIV/0!</v>
      </c>
      <c r="S242" s="750"/>
      <c r="T242" s="746"/>
      <c r="U242" s="750"/>
      <c r="V242" s="758"/>
      <c r="W242" s="750"/>
      <c r="X242" s="746"/>
      <c r="Y242" s="746"/>
      <c r="Z242" s="746"/>
      <c r="AA242" s="746"/>
      <c r="AB242" s="247">
        <f t="shared" si="29"/>
        <v>0</v>
      </c>
      <c r="AC242" s="247">
        <f t="shared" ref="AC242:AC272" si="31">(S242/1.11)</f>
        <v>0</v>
      </c>
      <c r="AD242" s="770"/>
      <c r="AE242" s="771"/>
      <c r="AF242" s="746"/>
      <c r="AG242" s="746"/>
      <c r="AH242" s="746"/>
      <c r="AI242" s="772"/>
      <c r="AJ242" s="746"/>
    </row>
    <row r="243" spans="1:36" s="258" customFormat="1" ht="20.100000000000001" customHeight="1">
      <c r="A243" s="745"/>
      <c r="B243" s="746"/>
      <c r="C243" s="746"/>
      <c r="D243" s="747"/>
      <c r="E243" s="746"/>
      <c r="F243" s="746"/>
      <c r="G243" s="746"/>
      <c r="H243" s="746"/>
      <c r="I243" s="746"/>
      <c r="J243" s="746"/>
      <c r="K243" s="746"/>
      <c r="L243" s="746"/>
      <c r="M243" s="746"/>
      <c r="N243" s="746"/>
      <c r="O243" s="749"/>
      <c r="P243" s="746"/>
      <c r="Q243" s="750"/>
      <c r="R243" s="855" t="e">
        <f t="shared" si="30"/>
        <v>#DIV/0!</v>
      </c>
      <c r="S243" s="750"/>
      <c r="T243" s="746"/>
      <c r="U243" s="750"/>
      <c r="V243" s="758"/>
      <c r="W243" s="750"/>
      <c r="X243" s="746"/>
      <c r="Y243" s="746"/>
      <c r="Z243" s="746"/>
      <c r="AA243" s="746"/>
      <c r="AB243" s="247">
        <f t="shared" si="29"/>
        <v>0</v>
      </c>
      <c r="AC243" s="247">
        <f t="shared" si="31"/>
        <v>0</v>
      </c>
      <c r="AD243" s="770"/>
      <c r="AE243" s="771"/>
      <c r="AF243" s="746"/>
      <c r="AG243" s="746"/>
      <c r="AH243" s="746"/>
      <c r="AI243" s="772"/>
      <c r="AJ243" s="746"/>
    </row>
    <row r="244" spans="1:36" s="258" customFormat="1" ht="20.100000000000001" customHeight="1">
      <c r="A244" s="745"/>
      <c r="B244" s="746"/>
      <c r="C244" s="746"/>
      <c r="D244" s="747"/>
      <c r="E244" s="746"/>
      <c r="F244" s="746"/>
      <c r="G244" s="746"/>
      <c r="H244" s="746"/>
      <c r="I244" s="746"/>
      <c r="J244" s="746"/>
      <c r="K244" s="737"/>
      <c r="L244" s="746"/>
      <c r="M244" s="746"/>
      <c r="N244" s="746"/>
      <c r="O244" s="749"/>
      <c r="P244" s="746"/>
      <c r="Q244" s="750"/>
      <c r="R244" s="855" t="e">
        <f t="shared" si="30"/>
        <v>#DIV/0!</v>
      </c>
      <c r="S244" s="750"/>
      <c r="T244" s="746"/>
      <c r="U244" s="750"/>
      <c r="V244" s="758"/>
      <c r="W244" s="750"/>
      <c r="X244" s="746"/>
      <c r="Y244" s="746"/>
      <c r="Z244" s="746"/>
      <c r="AA244" s="746"/>
      <c r="AB244" s="247">
        <f t="shared" si="29"/>
        <v>0</v>
      </c>
      <c r="AC244" s="247">
        <f t="shared" si="31"/>
        <v>0</v>
      </c>
      <c r="AD244" s="770"/>
      <c r="AE244" s="771"/>
      <c r="AF244" s="746"/>
      <c r="AG244" s="746"/>
      <c r="AH244" s="746"/>
      <c r="AI244" s="772"/>
      <c r="AJ244" s="746"/>
    </row>
    <row r="245" spans="1:36" s="258" customFormat="1" ht="20.100000000000001" customHeight="1">
      <c r="A245" s="745"/>
      <c r="B245" s="746"/>
      <c r="C245" s="746"/>
      <c r="D245" s="747"/>
      <c r="E245" s="746"/>
      <c r="F245" s="746"/>
      <c r="G245" s="746"/>
      <c r="H245" s="746"/>
      <c r="I245" s="746"/>
      <c r="J245" s="746"/>
      <c r="K245" s="737"/>
      <c r="L245" s="746"/>
      <c r="M245" s="746"/>
      <c r="N245" s="746"/>
      <c r="O245" s="749"/>
      <c r="P245" s="746"/>
      <c r="Q245" s="750"/>
      <c r="R245" s="855" t="e">
        <f t="shared" si="30"/>
        <v>#DIV/0!</v>
      </c>
      <c r="S245" s="750"/>
      <c r="T245" s="746"/>
      <c r="U245" s="750"/>
      <c r="V245" s="758"/>
      <c r="W245" s="750"/>
      <c r="X245" s="746"/>
      <c r="Y245" s="746"/>
      <c r="Z245" s="746"/>
      <c r="AA245" s="746"/>
      <c r="AB245" s="247">
        <f t="shared" si="29"/>
        <v>0</v>
      </c>
      <c r="AC245" s="247">
        <f t="shared" si="31"/>
        <v>0</v>
      </c>
      <c r="AD245" s="770"/>
      <c r="AE245" s="771"/>
      <c r="AF245" s="746"/>
      <c r="AG245" s="746"/>
      <c r="AH245" s="746"/>
      <c r="AI245" s="772"/>
      <c r="AJ245" s="760"/>
    </row>
    <row r="246" spans="1:36" s="258" customFormat="1" ht="20.100000000000001" customHeight="1">
      <c r="A246" s="745"/>
      <c r="B246" s="746"/>
      <c r="C246" s="746"/>
      <c r="D246" s="747"/>
      <c r="E246" s="746"/>
      <c r="F246" s="746"/>
      <c r="G246" s="746"/>
      <c r="H246" s="746"/>
      <c r="I246" s="746"/>
      <c r="J246" s="746"/>
      <c r="K246" s="746"/>
      <c r="L246" s="746"/>
      <c r="M246" s="746"/>
      <c r="N246" s="746"/>
      <c r="O246" s="749"/>
      <c r="P246" s="746"/>
      <c r="Q246" s="750"/>
      <c r="R246" s="855" t="e">
        <f t="shared" si="30"/>
        <v>#DIV/0!</v>
      </c>
      <c r="S246" s="750"/>
      <c r="T246" s="746"/>
      <c r="U246" s="750"/>
      <c r="V246" s="758"/>
      <c r="W246" s="750"/>
      <c r="X246" s="746"/>
      <c r="Y246" s="746"/>
      <c r="Z246" s="746"/>
      <c r="AA246" s="746"/>
      <c r="AB246" s="247">
        <f t="shared" si="29"/>
        <v>0</v>
      </c>
      <c r="AC246" s="247">
        <f t="shared" si="31"/>
        <v>0</v>
      </c>
      <c r="AD246" s="770"/>
      <c r="AE246" s="771"/>
      <c r="AF246" s="746"/>
      <c r="AG246" s="746"/>
      <c r="AH246" s="746"/>
      <c r="AI246" s="772"/>
      <c r="AJ246" s="746"/>
    </row>
    <row r="247" spans="1:36" s="258" customFormat="1" ht="20.100000000000001" customHeight="1">
      <c r="A247" s="745"/>
      <c r="B247" s="746"/>
      <c r="C247" s="746"/>
      <c r="D247" s="747"/>
      <c r="E247" s="746"/>
      <c r="F247" s="746"/>
      <c r="G247" s="746"/>
      <c r="H247" s="746"/>
      <c r="I247" s="746"/>
      <c r="J247" s="746"/>
      <c r="K247" s="746"/>
      <c r="L247" s="746"/>
      <c r="M247" s="746"/>
      <c r="N247" s="746"/>
      <c r="O247" s="749"/>
      <c r="P247" s="746"/>
      <c r="Q247" s="750"/>
      <c r="R247" s="855" t="e">
        <f t="shared" si="30"/>
        <v>#DIV/0!</v>
      </c>
      <c r="S247" s="750"/>
      <c r="T247" s="746"/>
      <c r="U247" s="750"/>
      <c r="V247" s="758"/>
      <c r="W247" s="750"/>
      <c r="X247" s="746"/>
      <c r="Y247" s="746"/>
      <c r="Z247" s="746"/>
      <c r="AA247" s="746"/>
      <c r="AB247" s="247">
        <f t="shared" si="29"/>
        <v>0</v>
      </c>
      <c r="AC247" s="247">
        <f t="shared" si="31"/>
        <v>0</v>
      </c>
      <c r="AD247" s="770"/>
      <c r="AE247" s="771"/>
      <c r="AF247" s="746"/>
      <c r="AG247" s="746"/>
      <c r="AH247" s="746"/>
      <c r="AI247" s="772"/>
      <c r="AJ247" s="746"/>
    </row>
    <row r="248" spans="1:36" s="258" customFormat="1" ht="20.100000000000001" customHeight="1">
      <c r="A248" s="718"/>
      <c r="B248" s="746"/>
      <c r="C248" s="746"/>
      <c r="D248" s="747"/>
      <c r="E248" s="746"/>
      <c r="F248" s="746"/>
      <c r="G248" s="746"/>
      <c r="H248" s="746"/>
      <c r="I248" s="746"/>
      <c r="J248" s="746"/>
      <c r="K248" s="737"/>
      <c r="L248" s="746"/>
      <c r="M248" s="746"/>
      <c r="N248" s="746"/>
      <c r="O248" s="749"/>
      <c r="P248" s="746"/>
      <c r="Q248" s="750"/>
      <c r="R248" s="855" t="e">
        <f t="shared" si="30"/>
        <v>#DIV/0!</v>
      </c>
      <c r="S248" s="750"/>
      <c r="T248" s="746"/>
      <c r="U248" s="750"/>
      <c r="V248" s="758"/>
      <c r="W248" s="750"/>
      <c r="X248" s="746"/>
      <c r="Y248" s="746"/>
      <c r="Z248" s="746"/>
      <c r="AA248" s="746"/>
      <c r="AB248" s="247">
        <f t="shared" si="29"/>
        <v>0</v>
      </c>
      <c r="AC248" s="247">
        <f t="shared" si="31"/>
        <v>0</v>
      </c>
      <c r="AD248" s="770"/>
      <c r="AE248" s="771"/>
      <c r="AF248" s="746"/>
      <c r="AG248" s="746"/>
      <c r="AH248" s="746"/>
      <c r="AI248" s="772"/>
      <c r="AJ248" s="746"/>
    </row>
    <row r="249" spans="1:36" s="258" customFormat="1" ht="20.100000000000001" customHeight="1">
      <c r="A249" s="745"/>
      <c r="B249" s="746"/>
      <c r="C249" s="746"/>
      <c r="D249" s="747"/>
      <c r="E249" s="746"/>
      <c r="F249" s="746"/>
      <c r="G249" s="746"/>
      <c r="H249" s="746"/>
      <c r="I249" s="746"/>
      <c r="J249" s="746"/>
      <c r="K249" s="746"/>
      <c r="L249" s="746"/>
      <c r="M249" s="746"/>
      <c r="N249" s="746"/>
      <c r="O249" s="749"/>
      <c r="P249" s="746"/>
      <c r="Q249" s="750"/>
      <c r="R249" s="855" t="e">
        <f t="shared" si="30"/>
        <v>#DIV/0!</v>
      </c>
      <c r="S249" s="750"/>
      <c r="T249" s="746"/>
      <c r="U249" s="750"/>
      <c r="V249" s="758"/>
      <c r="W249" s="750"/>
      <c r="X249" s="746"/>
      <c r="Y249" s="746"/>
      <c r="Z249" s="746"/>
      <c r="AA249" s="746"/>
      <c r="AB249" s="247">
        <f t="shared" si="29"/>
        <v>0</v>
      </c>
      <c r="AC249" s="247">
        <f t="shared" si="31"/>
        <v>0</v>
      </c>
      <c r="AD249" s="770"/>
      <c r="AE249" s="771"/>
      <c r="AF249" s="746"/>
      <c r="AG249" s="746"/>
      <c r="AH249" s="746"/>
      <c r="AI249" s="772"/>
      <c r="AJ249" s="746"/>
    </row>
    <row r="250" spans="1:36" s="258" customFormat="1" ht="20.100000000000001" customHeight="1">
      <c r="A250" s="745"/>
      <c r="B250" s="746"/>
      <c r="C250" s="746"/>
      <c r="D250" s="747"/>
      <c r="E250" s="746"/>
      <c r="F250" s="746"/>
      <c r="G250" s="746"/>
      <c r="H250" s="746"/>
      <c r="I250" s="746"/>
      <c r="J250" s="746"/>
      <c r="K250" s="746"/>
      <c r="L250" s="746"/>
      <c r="M250" s="746"/>
      <c r="N250" s="746"/>
      <c r="O250" s="749"/>
      <c r="P250" s="746"/>
      <c r="Q250" s="750"/>
      <c r="R250" s="855" t="e">
        <f t="shared" si="30"/>
        <v>#DIV/0!</v>
      </c>
      <c r="S250" s="750"/>
      <c r="T250" s="746"/>
      <c r="U250" s="750"/>
      <c r="V250" s="758"/>
      <c r="W250" s="750"/>
      <c r="X250" s="746"/>
      <c r="Y250" s="746"/>
      <c r="Z250" s="746"/>
      <c r="AA250" s="746"/>
      <c r="AB250" s="247">
        <f t="shared" si="29"/>
        <v>0</v>
      </c>
      <c r="AC250" s="247">
        <f t="shared" si="31"/>
        <v>0</v>
      </c>
      <c r="AD250" s="770"/>
      <c r="AE250" s="771"/>
      <c r="AF250" s="746"/>
      <c r="AG250" s="746"/>
      <c r="AH250" s="746"/>
      <c r="AI250" s="772"/>
      <c r="AJ250" s="746"/>
    </row>
    <row r="251" spans="1:36" s="258" customFormat="1" ht="20.100000000000001" customHeight="1">
      <c r="A251" s="745"/>
      <c r="B251" s="746"/>
      <c r="C251" s="746"/>
      <c r="D251" s="747"/>
      <c r="E251" s="746"/>
      <c r="F251" s="746"/>
      <c r="G251" s="746"/>
      <c r="H251" s="746"/>
      <c r="I251" s="746"/>
      <c r="J251" s="746"/>
      <c r="K251" s="737"/>
      <c r="L251" s="746"/>
      <c r="M251" s="746"/>
      <c r="N251" s="746"/>
      <c r="O251" s="749"/>
      <c r="P251" s="746"/>
      <c r="Q251" s="750"/>
      <c r="R251" s="855" t="e">
        <f t="shared" si="30"/>
        <v>#DIV/0!</v>
      </c>
      <c r="S251" s="750"/>
      <c r="T251" s="746"/>
      <c r="U251" s="750"/>
      <c r="V251" s="758"/>
      <c r="W251" s="750"/>
      <c r="X251" s="746"/>
      <c r="Y251" s="746"/>
      <c r="Z251" s="746"/>
      <c r="AA251" s="746"/>
      <c r="AB251" s="247">
        <f t="shared" si="29"/>
        <v>0</v>
      </c>
      <c r="AC251" s="247">
        <f t="shared" si="31"/>
        <v>0</v>
      </c>
      <c r="AD251" s="770"/>
      <c r="AE251" s="771"/>
      <c r="AF251" s="746"/>
      <c r="AG251" s="746"/>
      <c r="AH251" s="746"/>
      <c r="AI251" s="772"/>
      <c r="AJ251" s="746"/>
    </row>
    <row r="252" spans="1:36" s="258" customFormat="1" ht="20.100000000000001" customHeight="1">
      <c r="A252" s="745"/>
      <c r="B252" s="746"/>
      <c r="C252" s="746"/>
      <c r="D252" s="747"/>
      <c r="E252" s="746"/>
      <c r="F252" s="746"/>
      <c r="G252" s="746"/>
      <c r="H252" s="746"/>
      <c r="I252" s="746"/>
      <c r="J252" s="746"/>
      <c r="K252" s="746"/>
      <c r="L252" s="746"/>
      <c r="M252" s="746"/>
      <c r="N252" s="746"/>
      <c r="O252" s="749"/>
      <c r="P252" s="746"/>
      <c r="Q252" s="750"/>
      <c r="R252" s="855" t="e">
        <f t="shared" si="30"/>
        <v>#DIV/0!</v>
      </c>
      <c r="S252" s="750"/>
      <c r="T252" s="746"/>
      <c r="U252" s="750"/>
      <c r="V252" s="758"/>
      <c r="W252" s="750"/>
      <c r="X252" s="746"/>
      <c r="Y252" s="746"/>
      <c r="Z252" s="746"/>
      <c r="AA252" s="746"/>
      <c r="AB252" s="247">
        <f t="shared" si="29"/>
        <v>0</v>
      </c>
      <c r="AC252" s="247">
        <f t="shared" si="31"/>
        <v>0</v>
      </c>
      <c r="AD252" s="770"/>
      <c r="AE252" s="771"/>
      <c r="AF252" s="746"/>
      <c r="AG252" s="746"/>
      <c r="AH252" s="746"/>
      <c r="AI252" s="772"/>
      <c r="AJ252" s="746"/>
    </row>
    <row r="253" spans="1:36" s="258" customFormat="1" ht="20.100000000000001" customHeight="1">
      <c r="A253" s="745"/>
      <c r="B253" s="746"/>
      <c r="C253" s="746"/>
      <c r="D253" s="747"/>
      <c r="E253" s="746"/>
      <c r="F253" s="746"/>
      <c r="G253" s="746"/>
      <c r="H253" s="746"/>
      <c r="I253" s="746"/>
      <c r="J253" s="746"/>
      <c r="K253" s="746"/>
      <c r="L253" s="746"/>
      <c r="M253" s="746"/>
      <c r="N253" s="746"/>
      <c r="O253" s="749"/>
      <c r="P253" s="746"/>
      <c r="Q253" s="750"/>
      <c r="R253" s="855" t="e">
        <f t="shared" si="30"/>
        <v>#DIV/0!</v>
      </c>
      <c r="S253" s="750"/>
      <c r="T253" s="746"/>
      <c r="U253" s="750"/>
      <c r="V253" s="758"/>
      <c r="W253" s="750"/>
      <c r="X253" s="746"/>
      <c r="Y253" s="746"/>
      <c r="Z253" s="746"/>
      <c r="AA253" s="746"/>
      <c r="AB253" s="247">
        <f t="shared" si="29"/>
        <v>0</v>
      </c>
      <c r="AC253" s="247">
        <f t="shared" si="31"/>
        <v>0</v>
      </c>
      <c r="AD253" s="770"/>
      <c r="AE253" s="771"/>
      <c r="AF253" s="746"/>
      <c r="AG253" s="746"/>
      <c r="AH253" s="746"/>
      <c r="AI253" s="772"/>
      <c r="AJ253" s="746"/>
    </row>
    <row r="254" spans="1:36" s="258" customFormat="1" ht="20.100000000000001" customHeight="1">
      <c r="A254" s="745"/>
      <c r="B254" s="746"/>
      <c r="C254" s="746"/>
      <c r="D254" s="747"/>
      <c r="E254" s="746"/>
      <c r="F254" s="746"/>
      <c r="G254" s="746"/>
      <c r="H254" s="746"/>
      <c r="I254" s="746"/>
      <c r="J254" s="746"/>
      <c r="K254" s="737"/>
      <c r="L254" s="746"/>
      <c r="M254" s="746"/>
      <c r="N254" s="746"/>
      <c r="O254" s="749"/>
      <c r="P254" s="746"/>
      <c r="Q254" s="750"/>
      <c r="R254" s="855" t="e">
        <f t="shared" si="30"/>
        <v>#DIV/0!</v>
      </c>
      <c r="S254" s="750"/>
      <c r="T254" s="746"/>
      <c r="U254" s="750"/>
      <c r="V254" s="758"/>
      <c r="W254" s="750"/>
      <c r="X254" s="746"/>
      <c r="Y254" s="746"/>
      <c r="Z254" s="746"/>
      <c r="AA254" s="746"/>
      <c r="AB254" s="247">
        <f>W254*1.5%</f>
        <v>0</v>
      </c>
      <c r="AC254" s="247">
        <f t="shared" si="31"/>
        <v>0</v>
      </c>
      <c r="AD254" s="770"/>
      <c r="AE254" s="771"/>
      <c r="AF254" s="746"/>
      <c r="AG254" s="746"/>
      <c r="AH254" s="746"/>
      <c r="AI254" s="772"/>
      <c r="AJ254" s="746"/>
    </row>
    <row r="255" spans="1:36" s="258" customFormat="1" ht="20.100000000000001" customHeight="1">
      <c r="A255" s="745"/>
      <c r="B255" s="746"/>
      <c r="C255" s="746"/>
      <c r="D255" s="747"/>
      <c r="E255" s="746"/>
      <c r="F255" s="746"/>
      <c r="G255" s="746"/>
      <c r="H255" s="746"/>
      <c r="I255" s="746"/>
      <c r="J255" s="746"/>
      <c r="K255" s="746"/>
      <c r="L255" s="746"/>
      <c r="M255" s="746"/>
      <c r="N255" s="746"/>
      <c r="O255" s="749"/>
      <c r="P255" s="746"/>
      <c r="Q255" s="750"/>
      <c r="R255" s="855" t="e">
        <f t="shared" ref="R255:R263" si="32">(Q255-S255)/Q255*100</f>
        <v>#DIV/0!</v>
      </c>
      <c r="S255" s="750"/>
      <c r="T255" s="746"/>
      <c r="U255" s="750"/>
      <c r="V255" s="758"/>
      <c r="W255" s="750"/>
      <c r="X255" s="746"/>
      <c r="Y255" s="746"/>
      <c r="Z255" s="746"/>
      <c r="AA255" s="746"/>
      <c r="AB255" s="247">
        <f t="shared" si="29"/>
        <v>0</v>
      </c>
      <c r="AC255" s="247">
        <f t="shared" si="31"/>
        <v>0</v>
      </c>
      <c r="AD255" s="770"/>
      <c r="AE255" s="771"/>
      <c r="AF255" s="746"/>
      <c r="AG255" s="746"/>
      <c r="AH255" s="746"/>
      <c r="AI255" s="772"/>
      <c r="AJ255" s="746"/>
    </row>
    <row r="256" spans="1:36" s="258" customFormat="1" ht="20.100000000000001" customHeight="1">
      <c r="A256" s="745"/>
      <c r="B256" s="746"/>
      <c r="C256" s="746"/>
      <c r="D256" s="747"/>
      <c r="E256" s="746"/>
      <c r="F256" s="746"/>
      <c r="G256" s="746"/>
      <c r="H256" s="746"/>
      <c r="I256" s="746"/>
      <c r="J256" s="746"/>
      <c r="K256" s="746"/>
      <c r="L256" s="746"/>
      <c r="M256" s="746"/>
      <c r="N256" s="746"/>
      <c r="O256" s="749"/>
      <c r="P256" s="746"/>
      <c r="Q256" s="750"/>
      <c r="R256" s="855" t="e">
        <f t="shared" si="32"/>
        <v>#DIV/0!</v>
      </c>
      <c r="S256" s="750"/>
      <c r="T256" s="746"/>
      <c r="U256" s="750"/>
      <c r="V256" s="758"/>
      <c r="W256" s="750"/>
      <c r="X256" s="746"/>
      <c r="Y256" s="746"/>
      <c r="Z256" s="746"/>
      <c r="AA256" s="746"/>
      <c r="AB256" s="247">
        <f t="shared" si="29"/>
        <v>0</v>
      </c>
      <c r="AC256" s="247">
        <f t="shared" si="31"/>
        <v>0</v>
      </c>
      <c r="AD256" s="770"/>
      <c r="AE256" s="771"/>
      <c r="AF256" s="746"/>
      <c r="AG256" s="746"/>
      <c r="AH256" s="746"/>
      <c r="AI256" s="772"/>
      <c r="AJ256" s="746"/>
    </row>
    <row r="257" spans="1:36" s="258" customFormat="1" ht="20.100000000000001" customHeight="1">
      <c r="A257" s="745"/>
      <c r="B257" s="746"/>
      <c r="C257" s="746"/>
      <c r="D257" s="747"/>
      <c r="E257" s="746"/>
      <c r="F257" s="746"/>
      <c r="G257" s="746"/>
      <c r="H257" s="746"/>
      <c r="I257" s="746"/>
      <c r="J257" s="746"/>
      <c r="K257" s="737"/>
      <c r="L257" s="746"/>
      <c r="M257" s="746"/>
      <c r="N257" s="746"/>
      <c r="O257" s="749"/>
      <c r="P257" s="746"/>
      <c r="Q257" s="750"/>
      <c r="R257" s="855" t="e">
        <f t="shared" si="32"/>
        <v>#DIV/0!</v>
      </c>
      <c r="S257" s="750"/>
      <c r="T257" s="746"/>
      <c r="U257" s="750"/>
      <c r="V257" s="758"/>
      <c r="W257" s="750"/>
      <c r="X257" s="746"/>
      <c r="Y257" s="746"/>
      <c r="Z257" s="746"/>
      <c r="AA257" s="746"/>
      <c r="AB257" s="247">
        <f>W257*0.15%</f>
        <v>0</v>
      </c>
      <c r="AC257" s="247">
        <f t="shared" si="31"/>
        <v>0</v>
      </c>
      <c r="AD257" s="770"/>
      <c r="AE257" s="771"/>
      <c r="AF257" s="746"/>
      <c r="AG257" s="746"/>
      <c r="AH257" s="746"/>
      <c r="AI257" s="772"/>
      <c r="AJ257" s="760"/>
    </row>
    <row r="258" spans="1:36" s="258" customFormat="1" ht="20.100000000000001" customHeight="1">
      <c r="A258" s="745"/>
      <c r="B258" s="746"/>
      <c r="C258" s="746"/>
      <c r="D258" s="747"/>
      <c r="E258" s="746"/>
      <c r="F258" s="746"/>
      <c r="G258" s="746"/>
      <c r="H258" s="746"/>
      <c r="I258" s="746"/>
      <c r="J258" s="746"/>
      <c r="K258" s="746"/>
      <c r="L258" s="746"/>
      <c r="M258" s="746"/>
      <c r="N258" s="746"/>
      <c r="O258" s="749"/>
      <c r="P258" s="746"/>
      <c r="Q258" s="750"/>
      <c r="R258" s="855" t="e">
        <f t="shared" si="32"/>
        <v>#DIV/0!</v>
      </c>
      <c r="S258" s="750"/>
      <c r="T258" s="746"/>
      <c r="U258" s="750"/>
      <c r="V258" s="758"/>
      <c r="W258" s="750"/>
      <c r="X258" s="746"/>
      <c r="Y258" s="746"/>
      <c r="Z258" s="746"/>
      <c r="AA258" s="746"/>
      <c r="AB258" s="247">
        <f t="shared" si="29"/>
        <v>0</v>
      </c>
      <c r="AC258" s="247">
        <f t="shared" si="31"/>
        <v>0</v>
      </c>
      <c r="AD258" s="770"/>
      <c r="AE258" s="771"/>
      <c r="AF258" s="746"/>
      <c r="AG258" s="746"/>
      <c r="AH258" s="746"/>
      <c r="AI258" s="772"/>
      <c r="AJ258" s="728"/>
    </row>
    <row r="259" spans="1:36" s="258" customFormat="1" ht="20.100000000000001" customHeight="1">
      <c r="A259" s="745"/>
      <c r="B259" s="746"/>
      <c r="C259" s="746"/>
      <c r="D259" s="747"/>
      <c r="E259" s="746"/>
      <c r="F259" s="746"/>
      <c r="G259" s="746"/>
      <c r="H259" s="746"/>
      <c r="I259" s="746"/>
      <c r="J259" s="746"/>
      <c r="K259" s="746"/>
      <c r="L259" s="746"/>
      <c r="M259" s="746"/>
      <c r="N259" s="746"/>
      <c r="O259" s="749"/>
      <c r="P259" s="746"/>
      <c r="Q259" s="750"/>
      <c r="R259" s="855" t="e">
        <f t="shared" si="32"/>
        <v>#DIV/0!</v>
      </c>
      <c r="S259" s="750"/>
      <c r="T259" s="746"/>
      <c r="U259" s="750"/>
      <c r="V259" s="758"/>
      <c r="W259" s="750"/>
      <c r="X259" s="746"/>
      <c r="Y259" s="746"/>
      <c r="Z259" s="746"/>
      <c r="AA259" s="746"/>
      <c r="AB259" s="247">
        <f t="shared" si="29"/>
        <v>0</v>
      </c>
      <c r="AC259" s="247">
        <f t="shared" si="31"/>
        <v>0</v>
      </c>
      <c r="AD259" s="770"/>
      <c r="AE259" s="771"/>
      <c r="AF259" s="746"/>
      <c r="AG259" s="746"/>
      <c r="AH259" s="746"/>
      <c r="AI259" s="772"/>
      <c r="AJ259" s="746"/>
    </row>
    <row r="260" spans="1:36" s="258" customFormat="1" ht="20.100000000000001" customHeight="1">
      <c r="A260" s="718"/>
      <c r="B260" s="746"/>
      <c r="C260" s="746"/>
      <c r="D260" s="747"/>
      <c r="E260" s="746"/>
      <c r="F260" s="746"/>
      <c r="G260" s="746"/>
      <c r="H260" s="746"/>
      <c r="I260" s="746"/>
      <c r="J260" s="746"/>
      <c r="K260" s="737"/>
      <c r="L260" s="746"/>
      <c r="M260" s="746"/>
      <c r="N260" s="746"/>
      <c r="O260" s="749"/>
      <c r="P260" s="746"/>
      <c r="Q260" s="750"/>
      <c r="R260" s="855" t="e">
        <f t="shared" si="32"/>
        <v>#DIV/0!</v>
      </c>
      <c r="S260" s="750"/>
      <c r="T260" s="746"/>
      <c r="U260" s="750"/>
      <c r="V260" s="758"/>
      <c r="W260" s="750"/>
      <c r="X260" s="746"/>
      <c r="Y260" s="746"/>
      <c r="Z260" s="746"/>
      <c r="AA260" s="746"/>
      <c r="AB260" s="247">
        <f t="shared" si="29"/>
        <v>0</v>
      </c>
      <c r="AC260" s="247">
        <f t="shared" si="31"/>
        <v>0</v>
      </c>
      <c r="AD260" s="770"/>
      <c r="AE260" s="771"/>
      <c r="AF260" s="746"/>
      <c r="AG260" s="746"/>
      <c r="AH260" s="746"/>
      <c r="AI260" s="772"/>
      <c r="AJ260" s="760"/>
    </row>
    <row r="261" spans="1:36" s="258" customFormat="1" ht="20.100000000000001" customHeight="1">
      <c r="A261" s="745"/>
      <c r="B261" s="746"/>
      <c r="C261" s="746"/>
      <c r="D261" s="747"/>
      <c r="E261" s="746"/>
      <c r="F261" s="746"/>
      <c r="G261" s="746"/>
      <c r="H261" s="746"/>
      <c r="I261" s="746"/>
      <c r="J261" s="746"/>
      <c r="K261" s="737"/>
      <c r="L261" s="746"/>
      <c r="M261" s="746"/>
      <c r="N261" s="746"/>
      <c r="O261" s="749"/>
      <c r="P261" s="746"/>
      <c r="Q261" s="750"/>
      <c r="R261" s="855" t="e">
        <f t="shared" si="32"/>
        <v>#DIV/0!</v>
      </c>
      <c r="S261" s="750"/>
      <c r="T261" s="746"/>
      <c r="U261" s="750"/>
      <c r="V261" s="758"/>
      <c r="W261" s="750"/>
      <c r="X261" s="746"/>
      <c r="Y261" s="746"/>
      <c r="Z261" s="746"/>
      <c r="AA261" s="746"/>
      <c r="AB261" s="247">
        <f t="shared" si="29"/>
        <v>0</v>
      </c>
      <c r="AC261" s="247">
        <f t="shared" si="31"/>
        <v>0</v>
      </c>
      <c r="AD261" s="770"/>
      <c r="AE261" s="771"/>
      <c r="AF261" s="746"/>
      <c r="AG261" s="746"/>
      <c r="AH261" s="746"/>
      <c r="AI261" s="772"/>
      <c r="AJ261" s="746"/>
    </row>
    <row r="262" spans="1:36" s="258" customFormat="1" ht="20.100000000000001" customHeight="1">
      <c r="A262" s="745"/>
      <c r="B262" s="746"/>
      <c r="C262" s="746"/>
      <c r="D262" s="747"/>
      <c r="E262" s="746"/>
      <c r="F262" s="746"/>
      <c r="G262" s="746"/>
      <c r="H262" s="746"/>
      <c r="I262" s="746"/>
      <c r="J262" s="746"/>
      <c r="K262" s="746"/>
      <c r="L262" s="746"/>
      <c r="M262" s="746"/>
      <c r="N262" s="746"/>
      <c r="O262" s="749"/>
      <c r="P262" s="746"/>
      <c r="Q262" s="750"/>
      <c r="R262" s="855" t="e">
        <f t="shared" si="32"/>
        <v>#DIV/0!</v>
      </c>
      <c r="S262" s="750"/>
      <c r="T262" s="746"/>
      <c r="U262" s="750"/>
      <c r="V262" s="758"/>
      <c r="W262" s="750"/>
      <c r="X262" s="746"/>
      <c r="Y262" s="746"/>
      <c r="Z262" s="746"/>
      <c r="AA262" s="746"/>
      <c r="AB262" s="247">
        <f t="shared" si="29"/>
        <v>0</v>
      </c>
      <c r="AC262" s="247">
        <f t="shared" si="31"/>
        <v>0</v>
      </c>
      <c r="AD262" s="770"/>
      <c r="AE262" s="771"/>
      <c r="AF262" s="746"/>
      <c r="AG262" s="746"/>
      <c r="AH262" s="746"/>
      <c r="AI262" s="772"/>
      <c r="AJ262" s="746"/>
    </row>
    <row r="263" spans="1:36" s="258" customFormat="1" ht="20.100000000000001" customHeight="1">
      <c r="A263" s="751"/>
      <c r="B263" s="729"/>
      <c r="C263" s="729"/>
      <c r="D263" s="732"/>
      <c r="E263" s="729"/>
      <c r="F263" s="746"/>
      <c r="G263" s="729"/>
      <c r="H263" s="729"/>
      <c r="I263" s="729"/>
      <c r="J263" s="729"/>
      <c r="K263" s="737"/>
      <c r="L263" s="729"/>
      <c r="M263" s="729"/>
      <c r="N263" s="729"/>
      <c r="O263" s="749"/>
      <c r="P263" s="746"/>
      <c r="Q263" s="731"/>
      <c r="R263" s="855" t="e">
        <f t="shared" si="32"/>
        <v>#DIV/0!</v>
      </c>
      <c r="S263" s="731"/>
      <c r="T263" s="729"/>
      <c r="U263" s="731"/>
      <c r="V263" s="755"/>
      <c r="W263" s="731"/>
      <c r="X263" s="729"/>
      <c r="Y263" s="729"/>
      <c r="Z263" s="729"/>
      <c r="AA263" s="729"/>
      <c r="AB263" s="247">
        <f>W263*1.9%</f>
        <v>0</v>
      </c>
      <c r="AC263" s="247">
        <f t="shared" si="31"/>
        <v>0</v>
      </c>
      <c r="AD263" s="763"/>
      <c r="AE263" s="764"/>
      <c r="AF263" s="729"/>
      <c r="AG263" s="729"/>
      <c r="AH263" s="729"/>
      <c r="AI263" s="772"/>
      <c r="AJ263" s="754"/>
    </row>
    <row r="264" spans="1:36" s="258" customFormat="1" ht="20.100000000000001" customHeight="1">
      <c r="A264" s="751"/>
      <c r="B264" s="729"/>
      <c r="C264" s="729"/>
      <c r="D264" s="732"/>
      <c r="E264" s="729"/>
      <c r="F264" s="729"/>
      <c r="G264" s="729"/>
      <c r="H264" s="729"/>
      <c r="I264" s="729"/>
      <c r="J264" s="729"/>
      <c r="K264" s="746"/>
      <c r="L264" s="729"/>
      <c r="M264" s="729"/>
      <c r="N264" s="729"/>
      <c r="O264" s="730"/>
      <c r="P264" s="729"/>
      <c r="Q264" s="731"/>
      <c r="R264" s="855" t="e">
        <f t="shared" ref="R264:R273" si="33">(Q264-S264)/Q264*100</f>
        <v>#DIV/0!</v>
      </c>
      <c r="S264" s="731"/>
      <c r="T264" s="729"/>
      <c r="U264" s="731"/>
      <c r="V264" s="755"/>
      <c r="W264" s="731"/>
      <c r="X264" s="729"/>
      <c r="Y264" s="729"/>
      <c r="Z264" s="729"/>
      <c r="AA264" s="729"/>
      <c r="AB264" s="247">
        <f t="shared" si="15"/>
        <v>0</v>
      </c>
      <c r="AC264" s="247">
        <f t="shared" si="31"/>
        <v>0</v>
      </c>
      <c r="AD264" s="763"/>
      <c r="AE264" s="764"/>
      <c r="AF264" s="729"/>
      <c r="AG264" s="729"/>
      <c r="AH264" s="729"/>
      <c r="AI264" s="753"/>
      <c r="AJ264" s="729"/>
    </row>
    <row r="265" spans="1:36" s="258" customFormat="1" ht="20.100000000000001" customHeight="1">
      <c r="A265" s="718"/>
      <c r="B265" s="837"/>
      <c r="C265" s="837"/>
      <c r="D265" s="732"/>
      <c r="E265" s="729"/>
      <c r="F265" s="729"/>
      <c r="G265" s="729"/>
      <c r="H265" s="729"/>
      <c r="I265" s="729"/>
      <c r="J265" s="729"/>
      <c r="K265" s="729"/>
      <c r="L265" s="729"/>
      <c r="M265" s="729"/>
      <c r="N265" s="729"/>
      <c r="O265" s="730"/>
      <c r="P265" s="729"/>
      <c r="Q265" s="731"/>
      <c r="R265" s="855" t="e">
        <f t="shared" si="33"/>
        <v>#DIV/0!</v>
      </c>
      <c r="S265" s="731"/>
      <c r="T265" s="729"/>
      <c r="U265" s="731"/>
      <c r="V265" s="755"/>
      <c r="W265" s="731"/>
      <c r="X265" s="729"/>
      <c r="Y265" s="729"/>
      <c r="Z265" s="729"/>
      <c r="AA265" s="729"/>
      <c r="AB265" s="247">
        <f t="shared" si="15"/>
        <v>0</v>
      </c>
      <c r="AC265" s="247">
        <f t="shared" si="31"/>
        <v>0</v>
      </c>
      <c r="AD265" s="763"/>
      <c r="AE265" s="764"/>
      <c r="AF265" s="729"/>
      <c r="AG265" s="729"/>
      <c r="AH265" s="729"/>
      <c r="AI265" s="753"/>
      <c r="AJ265" s="729"/>
    </row>
    <row r="266" spans="1:36" s="258" customFormat="1" ht="20.100000000000001" customHeight="1">
      <c r="A266" s="718"/>
      <c r="B266" s="729"/>
      <c r="C266" s="729"/>
      <c r="D266" s="732"/>
      <c r="E266" s="729"/>
      <c r="F266" s="746"/>
      <c r="G266" s="729"/>
      <c r="H266" s="729"/>
      <c r="I266" s="729"/>
      <c r="J266" s="729"/>
      <c r="K266" s="737"/>
      <c r="L266" s="729"/>
      <c r="M266" s="729"/>
      <c r="N266" s="729"/>
      <c r="O266" s="730"/>
      <c r="P266" s="729"/>
      <c r="Q266" s="731"/>
      <c r="R266" s="855" t="e">
        <f t="shared" si="33"/>
        <v>#DIV/0!</v>
      </c>
      <c r="S266" s="731"/>
      <c r="T266" s="729"/>
      <c r="U266" s="731"/>
      <c r="V266" s="755"/>
      <c r="W266" s="731"/>
      <c r="X266" s="729"/>
      <c r="Y266" s="729"/>
      <c r="Z266" s="729"/>
      <c r="AA266" s="729"/>
      <c r="AB266" s="247">
        <f t="shared" si="15"/>
        <v>0</v>
      </c>
      <c r="AC266" s="247">
        <f t="shared" si="31"/>
        <v>0</v>
      </c>
      <c r="AD266" s="763"/>
      <c r="AE266" s="764"/>
      <c r="AF266" s="729"/>
      <c r="AG266" s="729"/>
      <c r="AH266" s="729"/>
      <c r="AI266" s="772"/>
      <c r="AJ266" s="754"/>
    </row>
    <row r="267" spans="1:36" s="258" customFormat="1" ht="20.100000000000001" customHeight="1">
      <c r="A267" s="751"/>
      <c r="B267" s="729"/>
      <c r="C267" s="729"/>
      <c r="D267" s="732"/>
      <c r="E267" s="729"/>
      <c r="F267" s="729"/>
      <c r="G267" s="729"/>
      <c r="H267" s="729"/>
      <c r="I267" s="729"/>
      <c r="J267" s="729"/>
      <c r="K267" s="737"/>
      <c r="L267" s="729"/>
      <c r="M267" s="729"/>
      <c r="N267" s="729"/>
      <c r="O267" s="730"/>
      <c r="P267" s="729"/>
      <c r="Q267" s="731"/>
      <c r="R267" s="855" t="e">
        <f t="shared" si="33"/>
        <v>#DIV/0!</v>
      </c>
      <c r="S267" s="731"/>
      <c r="T267" s="729"/>
      <c r="U267" s="731"/>
      <c r="V267" s="755"/>
      <c r="W267" s="731"/>
      <c r="X267" s="729"/>
      <c r="Y267" s="729"/>
      <c r="Z267" s="729"/>
      <c r="AA267" s="729"/>
      <c r="AB267" s="247">
        <f>W267*2.2%</f>
        <v>0</v>
      </c>
      <c r="AC267" s="247">
        <f t="shared" si="31"/>
        <v>0</v>
      </c>
      <c r="AD267" s="763"/>
      <c r="AE267" s="764"/>
      <c r="AF267" s="729"/>
      <c r="AG267" s="729"/>
      <c r="AH267" s="729"/>
      <c r="AI267" s="772"/>
      <c r="AJ267" s="729"/>
    </row>
    <row r="268" spans="1:36" s="258" customFormat="1" ht="20.100000000000001" customHeight="1">
      <c r="A268" s="751"/>
      <c r="B268" s="838"/>
      <c r="C268" s="838"/>
      <c r="D268" s="732"/>
      <c r="E268" s="729"/>
      <c r="F268" s="729"/>
      <c r="G268" s="729"/>
      <c r="H268" s="729"/>
      <c r="I268" s="729"/>
      <c r="J268" s="729"/>
      <c r="K268" s="729"/>
      <c r="L268" s="729"/>
      <c r="M268" s="729"/>
      <c r="N268" s="729"/>
      <c r="O268" s="730"/>
      <c r="P268" s="729"/>
      <c r="Q268" s="731"/>
      <c r="R268" s="855" t="e">
        <f t="shared" si="33"/>
        <v>#DIV/0!</v>
      </c>
      <c r="S268" s="731"/>
      <c r="T268" s="729"/>
      <c r="U268" s="731"/>
      <c r="V268" s="755"/>
      <c r="W268" s="731"/>
      <c r="X268" s="729"/>
      <c r="Y268" s="729"/>
      <c r="Z268" s="729"/>
      <c r="AA268" s="729"/>
      <c r="AB268" s="247">
        <f t="shared" si="15"/>
        <v>0</v>
      </c>
      <c r="AC268" s="247">
        <f t="shared" si="31"/>
        <v>0</v>
      </c>
      <c r="AD268" s="763"/>
      <c r="AE268" s="764"/>
      <c r="AF268" s="729"/>
      <c r="AG268" s="729"/>
      <c r="AH268" s="729"/>
      <c r="AI268" s="753"/>
      <c r="AJ268" s="729"/>
    </row>
    <row r="269" spans="1:36" s="258" customFormat="1" ht="20.100000000000001" customHeight="1">
      <c r="A269" s="751"/>
      <c r="B269" s="838"/>
      <c r="C269" s="838"/>
      <c r="D269" s="732"/>
      <c r="E269" s="729"/>
      <c r="F269" s="746"/>
      <c r="G269" s="729"/>
      <c r="H269" s="729"/>
      <c r="I269" s="729"/>
      <c r="J269" s="729"/>
      <c r="K269" s="737"/>
      <c r="L269" s="729"/>
      <c r="M269" s="729"/>
      <c r="N269" s="729"/>
      <c r="O269" s="730"/>
      <c r="P269" s="729"/>
      <c r="Q269" s="731"/>
      <c r="R269" s="855" t="e">
        <f t="shared" si="33"/>
        <v>#DIV/0!</v>
      </c>
      <c r="S269" s="731"/>
      <c r="T269" s="729"/>
      <c r="U269" s="731"/>
      <c r="V269" s="755"/>
      <c r="W269" s="731"/>
      <c r="X269" s="729"/>
      <c r="Y269" s="729"/>
      <c r="Z269" s="729"/>
      <c r="AA269" s="729"/>
      <c r="AB269" s="247">
        <f>W269*1.4%</f>
        <v>0</v>
      </c>
      <c r="AC269" s="247">
        <f t="shared" si="31"/>
        <v>0</v>
      </c>
      <c r="AD269" s="763"/>
      <c r="AE269" s="764"/>
      <c r="AF269" s="729"/>
      <c r="AG269" s="729"/>
      <c r="AH269" s="729"/>
      <c r="AI269" s="753"/>
      <c r="AJ269" s="752"/>
    </row>
    <row r="270" spans="1:36" s="258" customFormat="1" ht="20.100000000000001" customHeight="1">
      <c r="A270" s="718"/>
      <c r="B270" s="729"/>
      <c r="C270" s="729"/>
      <c r="D270" s="732"/>
      <c r="E270" s="729"/>
      <c r="F270" s="746"/>
      <c r="G270" s="729"/>
      <c r="H270" s="729"/>
      <c r="I270" s="729"/>
      <c r="J270" s="729"/>
      <c r="K270" s="737"/>
      <c r="L270" s="729"/>
      <c r="M270" s="729"/>
      <c r="N270" s="729"/>
      <c r="O270" s="730"/>
      <c r="P270" s="729"/>
      <c r="Q270" s="731"/>
      <c r="R270" s="855" t="e">
        <f t="shared" si="33"/>
        <v>#DIV/0!</v>
      </c>
      <c r="S270" s="731"/>
      <c r="T270" s="729"/>
      <c r="U270" s="731"/>
      <c r="V270" s="755"/>
      <c r="W270" s="731"/>
      <c r="X270" s="729"/>
      <c r="Y270" s="729"/>
      <c r="Z270" s="729"/>
      <c r="AA270" s="729"/>
      <c r="AB270" s="247">
        <f>W270*1.3%</f>
        <v>0</v>
      </c>
      <c r="AC270" s="247">
        <f t="shared" si="31"/>
        <v>0</v>
      </c>
      <c r="AD270" s="763"/>
      <c r="AE270" s="764"/>
      <c r="AF270" s="729"/>
      <c r="AG270" s="729"/>
      <c r="AH270" s="729"/>
      <c r="AI270" s="753"/>
      <c r="AJ270" s="729"/>
    </row>
    <row r="271" spans="1:36" s="258" customFormat="1" ht="20.100000000000001" customHeight="1">
      <c r="A271" s="751"/>
      <c r="B271" s="729"/>
      <c r="C271" s="729"/>
      <c r="D271" s="732"/>
      <c r="E271" s="729"/>
      <c r="F271" s="729"/>
      <c r="G271" s="729"/>
      <c r="H271" s="729"/>
      <c r="I271" s="729"/>
      <c r="J271" s="729"/>
      <c r="K271" s="737"/>
      <c r="L271" s="729"/>
      <c r="M271" s="729"/>
      <c r="N271" s="729"/>
      <c r="O271" s="730"/>
      <c r="P271" s="729"/>
      <c r="Q271" s="731"/>
      <c r="R271" s="855" t="e">
        <f t="shared" si="33"/>
        <v>#DIV/0!</v>
      </c>
      <c r="S271" s="731"/>
      <c r="T271" s="729"/>
      <c r="U271" s="731"/>
      <c r="V271" s="755"/>
      <c r="W271" s="731"/>
      <c r="X271" s="729"/>
      <c r="Y271" s="729"/>
      <c r="Z271" s="729"/>
      <c r="AA271" s="729"/>
      <c r="AB271" s="247">
        <f t="shared" si="15"/>
        <v>0</v>
      </c>
      <c r="AC271" s="247">
        <f t="shared" si="31"/>
        <v>0</v>
      </c>
      <c r="AD271" s="763"/>
      <c r="AE271" s="764"/>
      <c r="AF271" s="729"/>
      <c r="AG271" s="729"/>
      <c r="AH271" s="729"/>
      <c r="AI271" s="753"/>
      <c r="AJ271" s="729"/>
    </row>
    <row r="272" spans="1:36" s="258" customFormat="1" ht="20.100000000000001" customHeight="1">
      <c r="A272" s="751"/>
      <c r="B272" s="729"/>
      <c r="C272" s="729"/>
      <c r="D272" s="732"/>
      <c r="E272" s="729"/>
      <c r="F272" s="729"/>
      <c r="G272" s="729"/>
      <c r="H272" s="729"/>
      <c r="I272" s="729"/>
      <c r="J272" s="729"/>
      <c r="K272" s="729"/>
      <c r="L272" s="729"/>
      <c r="M272" s="729"/>
      <c r="N272" s="729"/>
      <c r="O272" s="730"/>
      <c r="P272" s="729"/>
      <c r="Q272" s="731"/>
      <c r="R272" s="855" t="e">
        <f t="shared" si="33"/>
        <v>#DIV/0!</v>
      </c>
      <c r="S272" s="731"/>
      <c r="T272" s="729"/>
      <c r="U272" s="731"/>
      <c r="V272" s="755"/>
      <c r="W272" s="731"/>
      <c r="X272" s="729"/>
      <c r="Y272" s="729"/>
      <c r="Z272" s="729"/>
      <c r="AA272" s="729"/>
      <c r="AB272" s="247">
        <f t="shared" si="15"/>
        <v>0</v>
      </c>
      <c r="AC272" s="247">
        <f t="shared" si="31"/>
        <v>0</v>
      </c>
      <c r="AD272" s="763"/>
      <c r="AE272" s="764"/>
      <c r="AF272" s="729"/>
      <c r="AG272" s="729"/>
      <c r="AH272" s="729"/>
      <c r="AI272" s="753"/>
      <c r="AJ272" s="729"/>
    </row>
    <row r="273" spans="1:36" s="258" customFormat="1" ht="20.100000000000001" customHeight="1">
      <c r="A273" s="745"/>
      <c r="B273" s="746"/>
      <c r="C273" s="746"/>
      <c r="D273" s="747"/>
      <c r="E273" s="746"/>
      <c r="F273" s="746"/>
      <c r="G273" s="746"/>
      <c r="H273" s="746"/>
      <c r="I273" s="746"/>
      <c r="J273" s="746"/>
      <c r="K273" s="746"/>
      <c r="L273" s="746"/>
      <c r="M273" s="746"/>
      <c r="N273" s="746"/>
      <c r="O273" s="749"/>
      <c r="P273" s="746"/>
      <c r="Q273" s="750"/>
      <c r="R273" s="855" t="e">
        <f t="shared" si="33"/>
        <v>#DIV/0!</v>
      </c>
      <c r="S273" s="750"/>
      <c r="T273" s="746"/>
      <c r="U273" s="750"/>
      <c r="V273" s="758"/>
      <c r="W273" s="750"/>
      <c r="X273" s="746"/>
      <c r="Y273" s="746"/>
      <c r="Z273" s="746"/>
      <c r="AA273" s="746"/>
      <c r="AB273" s="247">
        <f t="shared" ref="AB273:AB288" si="34">W273*1.5%</f>
        <v>0</v>
      </c>
      <c r="AC273" s="247">
        <f t="shared" ref="AC273:AC288" si="35">(S273/1.11)</f>
        <v>0</v>
      </c>
      <c r="AD273" s="770"/>
      <c r="AE273" s="771"/>
      <c r="AF273" s="746"/>
      <c r="AG273" s="746"/>
      <c r="AH273" s="746"/>
      <c r="AI273" s="772"/>
      <c r="AJ273" s="746"/>
    </row>
    <row r="274" spans="1:36" s="258" customFormat="1" ht="20.100000000000001" customHeight="1">
      <c r="A274" s="745"/>
      <c r="B274" s="746"/>
      <c r="C274" s="746"/>
      <c r="D274" s="747"/>
      <c r="E274" s="746"/>
      <c r="F274" s="746"/>
      <c r="G274" s="746"/>
      <c r="H274" s="746"/>
      <c r="I274" s="746"/>
      <c r="J274" s="746"/>
      <c r="K274" s="737"/>
      <c r="L274" s="746"/>
      <c r="M274" s="746"/>
      <c r="N274" s="746"/>
      <c r="O274" s="749"/>
      <c r="P274" s="746"/>
      <c r="Q274" s="750"/>
      <c r="R274" s="855" t="e">
        <f t="shared" ref="R274:R311" si="36">(Q274-S274)/Q274*100</f>
        <v>#DIV/0!</v>
      </c>
      <c r="S274" s="750"/>
      <c r="T274" s="746"/>
      <c r="U274" s="750"/>
      <c r="V274" s="758"/>
      <c r="W274" s="750"/>
      <c r="X274" s="746"/>
      <c r="Y274" s="746"/>
      <c r="Z274" s="746"/>
      <c r="AA274" s="729"/>
      <c r="AB274" s="247">
        <f>W274*1.3%</f>
        <v>0</v>
      </c>
      <c r="AC274" s="247">
        <f t="shared" si="35"/>
        <v>0</v>
      </c>
      <c r="AD274" s="770"/>
      <c r="AE274" s="771"/>
      <c r="AF274" s="746"/>
      <c r="AG274" s="746"/>
      <c r="AH274" s="746"/>
      <c r="AI274" s="772"/>
      <c r="AJ274" s="746"/>
    </row>
    <row r="275" spans="1:36" s="258" customFormat="1" ht="20.100000000000001" customHeight="1">
      <c r="A275" s="745"/>
      <c r="B275" s="746"/>
      <c r="C275" s="746"/>
      <c r="D275" s="747"/>
      <c r="E275" s="746"/>
      <c r="F275" s="746"/>
      <c r="G275" s="746"/>
      <c r="H275" s="746"/>
      <c r="I275" s="746"/>
      <c r="J275" s="746"/>
      <c r="K275" s="746"/>
      <c r="L275" s="746"/>
      <c r="M275" s="746"/>
      <c r="N275" s="746"/>
      <c r="O275" s="749"/>
      <c r="P275" s="746"/>
      <c r="Q275" s="750"/>
      <c r="R275" s="855" t="e">
        <f t="shared" si="36"/>
        <v>#DIV/0!</v>
      </c>
      <c r="S275" s="750"/>
      <c r="T275" s="746"/>
      <c r="U275" s="750"/>
      <c r="V275" s="758"/>
      <c r="W275" s="750"/>
      <c r="X275" s="746"/>
      <c r="Y275" s="746"/>
      <c r="Z275" s="746"/>
      <c r="AA275" s="746"/>
      <c r="AB275" s="247">
        <f t="shared" si="34"/>
        <v>0</v>
      </c>
      <c r="AC275" s="247">
        <f t="shared" si="35"/>
        <v>0</v>
      </c>
      <c r="AD275" s="770"/>
      <c r="AE275" s="771"/>
      <c r="AF275" s="746"/>
      <c r="AG275" s="746"/>
      <c r="AH275" s="746"/>
      <c r="AI275" s="772"/>
      <c r="AJ275" s="746"/>
    </row>
    <row r="276" spans="1:36" s="258" customFormat="1" ht="20.100000000000001" customHeight="1">
      <c r="A276" s="745"/>
      <c r="B276" s="746"/>
      <c r="C276" s="746"/>
      <c r="D276" s="747"/>
      <c r="E276" s="746"/>
      <c r="F276" s="746"/>
      <c r="G276" s="746"/>
      <c r="H276" s="746"/>
      <c r="I276" s="746"/>
      <c r="J276" s="746"/>
      <c r="K276" s="746"/>
      <c r="L276" s="746"/>
      <c r="M276" s="746"/>
      <c r="N276" s="746"/>
      <c r="O276" s="749"/>
      <c r="P276" s="746"/>
      <c r="Q276" s="750"/>
      <c r="R276" s="855" t="e">
        <f t="shared" si="36"/>
        <v>#DIV/0!</v>
      </c>
      <c r="S276" s="750"/>
      <c r="T276" s="746"/>
      <c r="U276" s="750"/>
      <c r="V276" s="758"/>
      <c r="W276" s="750"/>
      <c r="X276" s="746"/>
      <c r="Y276" s="746"/>
      <c r="Z276" s="746"/>
      <c r="AA276" s="746"/>
      <c r="AB276" s="247">
        <f t="shared" si="34"/>
        <v>0</v>
      </c>
      <c r="AC276" s="247">
        <f t="shared" si="35"/>
        <v>0</v>
      </c>
      <c r="AD276" s="770"/>
      <c r="AE276" s="771"/>
      <c r="AF276" s="746"/>
      <c r="AG276" s="746"/>
      <c r="AH276" s="746"/>
      <c r="AI276" s="772"/>
      <c r="AJ276" s="746"/>
    </row>
    <row r="277" spans="1:36" s="258" customFormat="1" ht="20.100000000000001" customHeight="1">
      <c r="A277" s="745"/>
      <c r="B277" s="746"/>
      <c r="C277" s="746"/>
      <c r="D277" s="747"/>
      <c r="E277" s="746"/>
      <c r="F277" s="746"/>
      <c r="G277" s="746"/>
      <c r="H277" s="746"/>
      <c r="I277" s="746"/>
      <c r="J277" s="746"/>
      <c r="K277" s="737"/>
      <c r="L277" s="746"/>
      <c r="M277" s="746"/>
      <c r="N277" s="746"/>
      <c r="O277" s="749"/>
      <c r="P277" s="746"/>
      <c r="Q277" s="750"/>
      <c r="R277" s="855" t="e">
        <f t="shared" si="36"/>
        <v>#DIV/0!</v>
      </c>
      <c r="S277" s="750"/>
      <c r="T277" s="746"/>
      <c r="U277" s="750"/>
      <c r="V277" s="758"/>
      <c r="W277" s="750"/>
      <c r="X277" s="746"/>
      <c r="Y277" s="746"/>
      <c r="Z277" s="746"/>
      <c r="AA277" s="746"/>
      <c r="AB277" s="247">
        <f>W277*1.75%</f>
        <v>0</v>
      </c>
      <c r="AC277" s="247">
        <f t="shared" si="35"/>
        <v>0</v>
      </c>
      <c r="AD277" s="770"/>
      <c r="AE277" s="771"/>
      <c r="AF277" s="746"/>
      <c r="AG277" s="746"/>
      <c r="AH277" s="746"/>
      <c r="AI277" s="772"/>
      <c r="AJ277" s="760"/>
    </row>
    <row r="278" spans="1:36" s="258" customFormat="1" ht="20.100000000000001" customHeight="1">
      <c r="A278" s="745"/>
      <c r="B278" s="746"/>
      <c r="C278" s="746"/>
      <c r="D278" s="747"/>
      <c r="E278" s="746"/>
      <c r="F278" s="746"/>
      <c r="G278" s="746"/>
      <c r="H278" s="746"/>
      <c r="I278" s="746"/>
      <c r="J278" s="746"/>
      <c r="K278" s="746"/>
      <c r="L278" s="746"/>
      <c r="M278" s="746"/>
      <c r="N278" s="746"/>
      <c r="O278" s="749"/>
      <c r="P278" s="746"/>
      <c r="Q278" s="750"/>
      <c r="R278" s="855" t="e">
        <f t="shared" si="36"/>
        <v>#DIV/0!</v>
      </c>
      <c r="S278" s="750"/>
      <c r="T278" s="746"/>
      <c r="U278" s="750"/>
      <c r="V278" s="758"/>
      <c r="W278" s="750"/>
      <c r="X278" s="746"/>
      <c r="Y278" s="746"/>
      <c r="Z278" s="746"/>
      <c r="AA278" s="746"/>
      <c r="AB278" s="247">
        <f t="shared" si="34"/>
        <v>0</v>
      </c>
      <c r="AC278" s="247">
        <f t="shared" si="35"/>
        <v>0</v>
      </c>
      <c r="AD278" s="770"/>
      <c r="AE278" s="771"/>
      <c r="AF278" s="746"/>
      <c r="AG278" s="746"/>
      <c r="AH278" s="746"/>
      <c r="AI278" s="772"/>
      <c r="AJ278" s="746"/>
    </row>
    <row r="279" spans="1:36" s="258" customFormat="1" ht="20.100000000000001" customHeight="1">
      <c r="A279" s="745"/>
      <c r="B279" s="746"/>
      <c r="C279" s="746"/>
      <c r="D279" s="747"/>
      <c r="E279" s="746"/>
      <c r="F279" s="746"/>
      <c r="G279" s="746"/>
      <c r="H279" s="746"/>
      <c r="I279" s="746"/>
      <c r="J279" s="746"/>
      <c r="K279" s="746"/>
      <c r="L279" s="746"/>
      <c r="M279" s="746"/>
      <c r="N279" s="746"/>
      <c r="O279" s="749"/>
      <c r="P279" s="746"/>
      <c r="Q279" s="750"/>
      <c r="R279" s="855" t="e">
        <f t="shared" si="36"/>
        <v>#DIV/0!</v>
      </c>
      <c r="S279" s="750"/>
      <c r="T279" s="746"/>
      <c r="U279" s="750"/>
      <c r="V279" s="758"/>
      <c r="W279" s="750"/>
      <c r="X279" s="746"/>
      <c r="Y279" s="746"/>
      <c r="Z279" s="746"/>
      <c r="AA279" s="746"/>
      <c r="AB279" s="247">
        <f t="shared" si="34"/>
        <v>0</v>
      </c>
      <c r="AC279" s="247">
        <f t="shared" si="35"/>
        <v>0</v>
      </c>
      <c r="AD279" s="770"/>
      <c r="AE279" s="771"/>
      <c r="AF279" s="746"/>
      <c r="AG279" s="746"/>
      <c r="AH279" s="746"/>
      <c r="AI279" s="772"/>
      <c r="AJ279" s="746"/>
    </row>
    <row r="280" spans="1:36" s="258" customFormat="1" ht="20.100000000000001" customHeight="1">
      <c r="A280" s="745"/>
      <c r="B280" s="746"/>
      <c r="C280" s="746"/>
      <c r="D280" s="747"/>
      <c r="E280" s="746"/>
      <c r="F280" s="746"/>
      <c r="G280" s="746"/>
      <c r="H280" s="746"/>
      <c r="I280" s="746"/>
      <c r="J280" s="746"/>
      <c r="K280" s="737"/>
      <c r="L280" s="746"/>
      <c r="M280" s="746"/>
      <c r="N280" s="746"/>
      <c r="O280" s="749"/>
      <c r="P280" s="746"/>
      <c r="Q280" s="750"/>
      <c r="R280" s="855" t="e">
        <f t="shared" si="36"/>
        <v>#DIV/0!</v>
      </c>
      <c r="S280" s="750"/>
      <c r="T280" s="746"/>
      <c r="U280" s="750"/>
      <c r="V280" s="758"/>
      <c r="W280" s="750"/>
      <c r="X280" s="746"/>
      <c r="Y280" s="746"/>
      <c r="Z280" s="746"/>
      <c r="AA280" s="746"/>
      <c r="AB280" s="247">
        <f>W280*5%</f>
        <v>0</v>
      </c>
      <c r="AC280" s="247">
        <f t="shared" si="35"/>
        <v>0</v>
      </c>
      <c r="AD280" s="770"/>
      <c r="AE280" s="771"/>
      <c r="AF280" s="746"/>
      <c r="AG280" s="746"/>
      <c r="AH280" s="746"/>
      <c r="AI280" s="772"/>
      <c r="AJ280" s="746"/>
    </row>
    <row r="281" spans="1:36" s="258" customFormat="1" ht="20.100000000000001" customHeight="1">
      <c r="A281" s="745"/>
      <c r="B281" s="746"/>
      <c r="C281" s="746"/>
      <c r="D281" s="747"/>
      <c r="E281" s="746"/>
      <c r="F281" s="746"/>
      <c r="G281" s="746"/>
      <c r="H281" s="746"/>
      <c r="I281" s="746"/>
      <c r="J281" s="746"/>
      <c r="K281" s="746"/>
      <c r="L281" s="746"/>
      <c r="M281" s="746"/>
      <c r="N281" s="746"/>
      <c r="O281" s="749"/>
      <c r="P281" s="746"/>
      <c r="Q281" s="750"/>
      <c r="R281" s="855" t="e">
        <f t="shared" si="36"/>
        <v>#DIV/0!</v>
      </c>
      <c r="S281" s="750"/>
      <c r="T281" s="746"/>
      <c r="U281" s="750"/>
      <c r="V281" s="758"/>
      <c r="W281" s="750"/>
      <c r="X281" s="746"/>
      <c r="Y281" s="746"/>
      <c r="Z281" s="746"/>
      <c r="AA281" s="746"/>
      <c r="AB281" s="247">
        <f t="shared" si="34"/>
        <v>0</v>
      </c>
      <c r="AC281" s="247">
        <f t="shared" si="35"/>
        <v>0</v>
      </c>
      <c r="AD281" s="770"/>
      <c r="AE281" s="771"/>
      <c r="AF281" s="746"/>
      <c r="AG281" s="746"/>
      <c r="AH281" s="746"/>
      <c r="AI281" s="772"/>
      <c r="AJ281" s="746"/>
    </row>
    <row r="282" spans="1:36" s="258" customFormat="1" ht="20.100000000000001" customHeight="1">
      <c r="A282" s="745"/>
      <c r="B282" s="746"/>
      <c r="C282" s="746"/>
      <c r="D282" s="747"/>
      <c r="E282" s="746"/>
      <c r="F282" s="746"/>
      <c r="G282" s="746"/>
      <c r="H282" s="746"/>
      <c r="I282" s="746"/>
      <c r="J282" s="746"/>
      <c r="K282" s="746"/>
      <c r="L282" s="746"/>
      <c r="M282" s="746"/>
      <c r="N282" s="746"/>
      <c r="O282" s="749"/>
      <c r="P282" s="746"/>
      <c r="Q282" s="750"/>
      <c r="R282" s="855" t="e">
        <f t="shared" si="36"/>
        <v>#DIV/0!</v>
      </c>
      <c r="S282" s="750"/>
      <c r="T282" s="746"/>
      <c r="U282" s="750"/>
      <c r="V282" s="758"/>
      <c r="W282" s="750"/>
      <c r="X282" s="746"/>
      <c r="Y282" s="746"/>
      <c r="Z282" s="746"/>
      <c r="AA282" s="746"/>
      <c r="AB282" s="247">
        <f t="shared" si="34"/>
        <v>0</v>
      </c>
      <c r="AC282" s="247">
        <f t="shared" si="35"/>
        <v>0</v>
      </c>
      <c r="AD282" s="770"/>
      <c r="AE282" s="771"/>
      <c r="AF282" s="746"/>
      <c r="AG282" s="746"/>
      <c r="AH282" s="746"/>
      <c r="AI282" s="772"/>
      <c r="AJ282" s="746"/>
    </row>
    <row r="283" spans="1:36" s="258" customFormat="1" ht="20.100000000000001" customHeight="1">
      <c r="A283" s="745"/>
      <c r="B283" s="746"/>
      <c r="C283" s="746"/>
      <c r="D283" s="747"/>
      <c r="E283" s="746"/>
      <c r="F283" s="746"/>
      <c r="G283" s="746"/>
      <c r="H283" s="746"/>
      <c r="I283" s="746"/>
      <c r="J283" s="746"/>
      <c r="K283" s="737"/>
      <c r="L283" s="746"/>
      <c r="M283" s="746"/>
      <c r="N283" s="746"/>
      <c r="O283" s="749"/>
      <c r="P283" s="746"/>
      <c r="Q283" s="750"/>
      <c r="R283" s="855" t="e">
        <f t="shared" si="36"/>
        <v>#DIV/0!</v>
      </c>
      <c r="S283" s="750"/>
      <c r="T283" s="746"/>
      <c r="U283" s="750"/>
      <c r="V283" s="750"/>
      <c r="W283" s="750"/>
      <c r="X283" s="746"/>
      <c r="Y283" s="746"/>
      <c r="Z283" s="746"/>
      <c r="AA283" s="746"/>
      <c r="AB283" s="247">
        <f t="shared" si="34"/>
        <v>0</v>
      </c>
      <c r="AC283" s="247">
        <f t="shared" si="35"/>
        <v>0</v>
      </c>
      <c r="AD283" s="770"/>
      <c r="AE283" s="771"/>
      <c r="AF283" s="746"/>
      <c r="AG283" s="746"/>
      <c r="AH283" s="746"/>
      <c r="AI283" s="772"/>
      <c r="AJ283" s="746"/>
    </row>
    <row r="284" spans="1:36" s="258" customFormat="1" ht="20.100000000000001" customHeight="1">
      <c r="A284" s="745"/>
      <c r="B284" s="746"/>
      <c r="C284" s="746"/>
      <c r="D284" s="747"/>
      <c r="E284" s="746"/>
      <c r="F284" s="746"/>
      <c r="G284" s="746"/>
      <c r="H284" s="746"/>
      <c r="I284" s="746"/>
      <c r="J284" s="746"/>
      <c r="K284" s="746"/>
      <c r="L284" s="746"/>
      <c r="M284" s="746"/>
      <c r="N284" s="746"/>
      <c r="O284" s="749"/>
      <c r="P284" s="746"/>
      <c r="Q284" s="750"/>
      <c r="R284" s="855" t="e">
        <f t="shared" si="36"/>
        <v>#DIV/0!</v>
      </c>
      <c r="S284" s="750"/>
      <c r="T284" s="746"/>
      <c r="U284" s="750"/>
      <c r="V284" s="758"/>
      <c r="W284" s="750"/>
      <c r="X284" s="746"/>
      <c r="Y284" s="746"/>
      <c r="Z284" s="746"/>
      <c r="AA284" s="746"/>
      <c r="AB284" s="247">
        <f t="shared" si="34"/>
        <v>0</v>
      </c>
      <c r="AC284" s="247">
        <f t="shared" si="35"/>
        <v>0</v>
      </c>
      <c r="AD284" s="770"/>
      <c r="AE284" s="771"/>
      <c r="AF284" s="746"/>
      <c r="AG284" s="746"/>
      <c r="AH284" s="746"/>
      <c r="AI284" s="772"/>
      <c r="AJ284" s="746"/>
    </row>
    <row r="285" spans="1:36" s="258" customFormat="1" ht="20.100000000000001" customHeight="1">
      <c r="A285" s="745"/>
      <c r="B285" s="746"/>
      <c r="C285" s="746"/>
      <c r="D285" s="747"/>
      <c r="E285" s="746"/>
      <c r="F285" s="746"/>
      <c r="G285" s="746"/>
      <c r="H285" s="746"/>
      <c r="I285" s="746"/>
      <c r="J285" s="746"/>
      <c r="K285" s="746"/>
      <c r="L285" s="746"/>
      <c r="M285" s="746"/>
      <c r="N285" s="746"/>
      <c r="O285" s="749"/>
      <c r="P285" s="746"/>
      <c r="Q285" s="750"/>
      <c r="R285" s="855" t="e">
        <f t="shared" si="36"/>
        <v>#DIV/0!</v>
      </c>
      <c r="S285" s="750"/>
      <c r="T285" s="746"/>
      <c r="U285" s="750"/>
      <c r="V285" s="758"/>
      <c r="W285" s="750"/>
      <c r="X285" s="746"/>
      <c r="Y285" s="746"/>
      <c r="Z285" s="746"/>
      <c r="AA285" s="746"/>
      <c r="AB285" s="247">
        <f t="shared" si="34"/>
        <v>0</v>
      </c>
      <c r="AC285" s="247">
        <f t="shared" si="35"/>
        <v>0</v>
      </c>
      <c r="AD285" s="770"/>
      <c r="AE285" s="771"/>
      <c r="AF285" s="746"/>
      <c r="AG285" s="746"/>
      <c r="AH285" s="746"/>
      <c r="AI285" s="772"/>
      <c r="AJ285" s="746"/>
    </row>
    <row r="286" spans="1:36" s="258" customFormat="1" ht="20.100000000000001" customHeight="1">
      <c r="A286" s="718"/>
      <c r="B286" s="746"/>
      <c r="C286" s="746"/>
      <c r="D286" s="747"/>
      <c r="E286" s="746"/>
      <c r="F286" s="746"/>
      <c r="G286" s="746"/>
      <c r="H286" s="746"/>
      <c r="I286" s="746"/>
      <c r="J286" s="746"/>
      <c r="K286" s="737"/>
      <c r="L286" s="746"/>
      <c r="M286" s="746"/>
      <c r="N286" s="746"/>
      <c r="O286" s="749"/>
      <c r="P286" s="746"/>
      <c r="Q286" s="750"/>
      <c r="R286" s="855" t="e">
        <f t="shared" si="36"/>
        <v>#DIV/0!</v>
      </c>
      <c r="S286" s="750"/>
      <c r="T286" s="746"/>
      <c r="U286" s="750"/>
      <c r="V286" s="758"/>
      <c r="W286" s="750"/>
      <c r="X286" s="746"/>
      <c r="Y286" s="746"/>
      <c r="Z286" s="746"/>
      <c r="AA286" s="746"/>
      <c r="AB286" s="247">
        <f t="shared" si="34"/>
        <v>0</v>
      </c>
      <c r="AC286" s="247">
        <f t="shared" si="35"/>
        <v>0</v>
      </c>
      <c r="AD286" s="770"/>
      <c r="AE286" s="771"/>
      <c r="AF286" s="746"/>
      <c r="AG286" s="746"/>
      <c r="AH286" s="746"/>
      <c r="AI286" s="772"/>
      <c r="AJ286" s="746"/>
    </row>
    <row r="287" spans="1:36" s="258" customFormat="1" ht="20.100000000000001" customHeight="1">
      <c r="A287" s="745"/>
      <c r="B287" s="746"/>
      <c r="C287" s="746"/>
      <c r="D287" s="747"/>
      <c r="E287" s="746"/>
      <c r="F287" s="746"/>
      <c r="G287" s="746"/>
      <c r="H287" s="746"/>
      <c r="I287" s="746"/>
      <c r="J287" s="746"/>
      <c r="K287" s="746"/>
      <c r="L287" s="746"/>
      <c r="M287" s="760"/>
      <c r="N287" s="746"/>
      <c r="O287" s="800"/>
      <c r="P287" s="746"/>
      <c r="Q287" s="750"/>
      <c r="R287" s="855" t="e">
        <f t="shared" si="36"/>
        <v>#DIV/0!</v>
      </c>
      <c r="S287" s="750"/>
      <c r="T287" s="746"/>
      <c r="U287" s="750"/>
      <c r="V287" s="758"/>
      <c r="W287" s="750"/>
      <c r="X287" s="746"/>
      <c r="Y287" s="746"/>
      <c r="Z287" s="746"/>
      <c r="AA287" s="746"/>
      <c r="AB287" s="247">
        <f t="shared" si="34"/>
        <v>0</v>
      </c>
      <c r="AC287" s="247">
        <f t="shared" si="35"/>
        <v>0</v>
      </c>
      <c r="AD287" s="770"/>
      <c r="AE287" s="771"/>
      <c r="AF287" s="746"/>
      <c r="AG287" s="746"/>
      <c r="AH287" s="746"/>
      <c r="AI287" s="772"/>
      <c r="AJ287" s="746"/>
    </row>
    <row r="288" spans="1:36" s="258" customFormat="1" ht="20.100000000000001" customHeight="1">
      <c r="A288" s="718"/>
      <c r="B288" s="793"/>
      <c r="C288" s="793"/>
      <c r="D288" s="747"/>
      <c r="E288" s="746"/>
      <c r="F288" s="746"/>
      <c r="G288" s="746"/>
      <c r="H288" s="746"/>
      <c r="I288" s="746"/>
      <c r="J288" s="746"/>
      <c r="K288" s="746"/>
      <c r="L288" s="746"/>
      <c r="M288" s="746"/>
      <c r="N288" s="746"/>
      <c r="O288" s="749"/>
      <c r="P288" s="746"/>
      <c r="Q288" s="750"/>
      <c r="R288" s="855" t="e">
        <f t="shared" si="36"/>
        <v>#DIV/0!</v>
      </c>
      <c r="S288" s="750"/>
      <c r="T288" s="746"/>
      <c r="U288" s="750"/>
      <c r="V288" s="758"/>
      <c r="W288" s="750"/>
      <c r="X288" s="746"/>
      <c r="Y288" s="746"/>
      <c r="Z288" s="746"/>
      <c r="AA288" s="746"/>
      <c r="AB288" s="247">
        <f t="shared" si="34"/>
        <v>0</v>
      </c>
      <c r="AC288" s="247">
        <f t="shared" si="35"/>
        <v>0</v>
      </c>
      <c r="AD288" s="770"/>
      <c r="AE288" s="771"/>
      <c r="AF288" s="746"/>
      <c r="AG288" s="746"/>
      <c r="AH288" s="746"/>
      <c r="AI288" s="772"/>
      <c r="AJ288" s="746"/>
    </row>
    <row r="289" spans="1:36" s="258" customFormat="1" ht="20.100000000000001" customHeight="1">
      <c r="A289" s="718"/>
      <c r="B289" s="746"/>
      <c r="C289" s="729"/>
      <c r="D289" s="732"/>
      <c r="E289" s="729"/>
      <c r="F289" s="746"/>
      <c r="G289" s="729"/>
      <c r="H289" s="729"/>
      <c r="I289" s="729"/>
      <c r="J289" s="729"/>
      <c r="K289" s="737"/>
      <c r="L289" s="729"/>
      <c r="M289" s="729"/>
      <c r="N289" s="729"/>
      <c r="O289" s="730"/>
      <c r="P289" s="729"/>
      <c r="Q289" s="731"/>
      <c r="R289" s="855" t="e">
        <f t="shared" si="36"/>
        <v>#DIV/0!</v>
      </c>
      <c r="S289" s="731"/>
      <c r="T289" s="729"/>
      <c r="U289" s="731"/>
      <c r="V289" s="755"/>
      <c r="W289" s="731"/>
      <c r="X289" s="729"/>
      <c r="Y289" s="729"/>
      <c r="Z289" s="729"/>
      <c r="AA289" s="729"/>
      <c r="AB289" s="247">
        <f>W289*1.9%</f>
        <v>0</v>
      </c>
      <c r="AC289" s="247">
        <f t="shared" ref="AC289:AC299" si="37">(S289/1.11)</f>
        <v>0</v>
      </c>
      <c r="AD289" s="763"/>
      <c r="AE289" s="764"/>
      <c r="AF289" s="729"/>
      <c r="AG289" s="729"/>
      <c r="AH289" s="729"/>
      <c r="AI289" s="772"/>
      <c r="AJ289" s="752"/>
    </row>
    <row r="290" spans="1:36" s="258" customFormat="1" ht="20.100000000000001" customHeight="1">
      <c r="A290" s="840"/>
      <c r="B290" s="746"/>
      <c r="C290" s="746"/>
      <c r="D290" s="747"/>
      <c r="E290" s="746"/>
      <c r="F290" s="746"/>
      <c r="G290" s="746"/>
      <c r="H290" s="746"/>
      <c r="I290" s="746"/>
      <c r="J290" s="746"/>
      <c r="K290" s="737"/>
      <c r="L290" s="746"/>
      <c r="M290" s="746"/>
      <c r="N290" s="746"/>
      <c r="O290" s="749"/>
      <c r="P290" s="746"/>
      <c r="Q290" s="750"/>
      <c r="R290" s="855" t="e">
        <f t="shared" si="36"/>
        <v>#DIV/0!</v>
      </c>
      <c r="S290" s="750"/>
      <c r="T290" s="746"/>
      <c r="U290" s="750"/>
      <c r="V290" s="758"/>
      <c r="W290" s="750"/>
      <c r="X290" s="746"/>
      <c r="Y290" s="746"/>
      <c r="Z290" s="746"/>
      <c r="AA290" s="746"/>
      <c r="AB290" s="247">
        <f t="shared" ref="AB290:AB315" si="38">W290*1.9%</f>
        <v>0</v>
      </c>
      <c r="AC290" s="247">
        <f t="shared" si="37"/>
        <v>0</v>
      </c>
      <c r="AD290" s="770"/>
      <c r="AE290" s="771"/>
      <c r="AF290" s="746"/>
      <c r="AG290" s="746"/>
      <c r="AH290" s="746"/>
      <c r="AI290" s="772"/>
      <c r="AJ290" s="793"/>
    </row>
    <row r="291" spans="1:36" s="258" customFormat="1" ht="20.100000000000001" customHeight="1">
      <c r="A291" s="840"/>
      <c r="B291" s="746"/>
      <c r="C291" s="746"/>
      <c r="D291" s="747"/>
      <c r="E291" s="746"/>
      <c r="F291" s="746"/>
      <c r="G291" s="746"/>
      <c r="H291" s="746"/>
      <c r="I291" s="746"/>
      <c r="J291" s="746"/>
      <c r="K291" s="746"/>
      <c r="L291" s="746"/>
      <c r="M291" s="746"/>
      <c r="N291" s="746"/>
      <c r="O291" s="749"/>
      <c r="P291" s="746"/>
      <c r="Q291" s="750"/>
      <c r="R291" s="855" t="e">
        <f t="shared" si="36"/>
        <v>#DIV/0!</v>
      </c>
      <c r="S291" s="750"/>
      <c r="T291" s="746"/>
      <c r="U291" s="750"/>
      <c r="V291" s="758"/>
      <c r="W291" s="750"/>
      <c r="X291" s="746"/>
      <c r="Y291" s="746"/>
      <c r="Z291" s="746"/>
      <c r="AA291" s="746"/>
      <c r="AB291" s="247">
        <f t="shared" si="38"/>
        <v>0</v>
      </c>
      <c r="AC291" s="247">
        <f t="shared" si="37"/>
        <v>0</v>
      </c>
      <c r="AD291" s="770"/>
      <c r="AE291" s="771"/>
      <c r="AF291" s="746"/>
      <c r="AG291" s="746"/>
      <c r="AH291" s="746"/>
      <c r="AI291" s="772"/>
      <c r="AJ291" s="793"/>
    </row>
    <row r="292" spans="1:36" s="258" customFormat="1" ht="20.100000000000001" customHeight="1">
      <c r="A292" s="840"/>
      <c r="B292" s="746"/>
      <c r="C292" s="746"/>
      <c r="D292" s="747"/>
      <c r="E292" s="746"/>
      <c r="F292" s="746"/>
      <c r="G292" s="746"/>
      <c r="H292" s="746"/>
      <c r="I292" s="746"/>
      <c r="J292" s="746"/>
      <c r="K292" s="746"/>
      <c r="L292" s="746"/>
      <c r="M292" s="746"/>
      <c r="N292" s="746"/>
      <c r="O292" s="749"/>
      <c r="P292" s="746"/>
      <c r="Q292" s="750"/>
      <c r="R292" s="855" t="e">
        <f t="shared" si="36"/>
        <v>#DIV/0!</v>
      </c>
      <c r="S292" s="750"/>
      <c r="T292" s="746"/>
      <c r="U292" s="750"/>
      <c r="V292" s="758"/>
      <c r="W292" s="750"/>
      <c r="X292" s="746"/>
      <c r="Y292" s="746"/>
      <c r="Z292" s="746"/>
      <c r="AA292" s="746"/>
      <c r="AB292" s="247">
        <f t="shared" si="38"/>
        <v>0</v>
      </c>
      <c r="AC292" s="247">
        <f t="shared" si="37"/>
        <v>0</v>
      </c>
      <c r="AD292" s="770"/>
      <c r="AE292" s="771"/>
      <c r="AF292" s="746"/>
      <c r="AG292" s="746"/>
      <c r="AH292" s="746"/>
      <c r="AI292" s="772"/>
      <c r="AJ292" s="793"/>
    </row>
    <row r="293" spans="1:36" s="258" customFormat="1" ht="20.100000000000001" customHeight="1">
      <c r="A293" s="840"/>
      <c r="B293" s="746"/>
      <c r="C293" s="746"/>
      <c r="D293" s="747"/>
      <c r="E293" s="746"/>
      <c r="F293" s="746"/>
      <c r="G293" s="746"/>
      <c r="H293" s="746"/>
      <c r="I293" s="746"/>
      <c r="J293" s="746"/>
      <c r="K293" s="737"/>
      <c r="L293" s="746"/>
      <c r="M293" s="746"/>
      <c r="N293" s="746"/>
      <c r="O293" s="749"/>
      <c r="P293" s="746"/>
      <c r="Q293" s="750"/>
      <c r="R293" s="855" t="e">
        <f t="shared" si="36"/>
        <v>#DIV/0!</v>
      </c>
      <c r="S293" s="750"/>
      <c r="T293" s="746"/>
      <c r="U293" s="750"/>
      <c r="V293" s="758"/>
      <c r="W293" s="750"/>
      <c r="X293" s="746"/>
      <c r="Y293" s="746"/>
      <c r="Z293" s="746"/>
      <c r="AA293" s="746"/>
      <c r="AB293" s="247">
        <f>W293*1.3%</f>
        <v>0</v>
      </c>
      <c r="AC293" s="247">
        <f t="shared" si="37"/>
        <v>0</v>
      </c>
      <c r="AD293" s="770"/>
      <c r="AE293" s="771"/>
      <c r="AF293" s="746"/>
      <c r="AG293" s="746"/>
      <c r="AH293" s="746"/>
      <c r="AI293" s="772"/>
      <c r="AJ293" s="760"/>
    </row>
    <row r="294" spans="1:36" s="258" customFormat="1" ht="20.100000000000001" customHeight="1">
      <c r="A294" s="840"/>
      <c r="B294" s="746"/>
      <c r="C294" s="746"/>
      <c r="D294" s="747"/>
      <c r="E294" s="746"/>
      <c r="F294" s="746"/>
      <c r="G294" s="746"/>
      <c r="H294" s="746"/>
      <c r="I294" s="746"/>
      <c r="J294" s="746"/>
      <c r="K294" s="746"/>
      <c r="L294" s="746"/>
      <c r="M294" s="746"/>
      <c r="N294" s="746"/>
      <c r="O294" s="749"/>
      <c r="P294" s="746"/>
      <c r="Q294" s="750"/>
      <c r="R294" s="855" t="e">
        <f t="shared" si="36"/>
        <v>#DIV/0!</v>
      </c>
      <c r="S294" s="750"/>
      <c r="T294" s="746"/>
      <c r="U294" s="750"/>
      <c r="V294" s="758"/>
      <c r="W294" s="750"/>
      <c r="X294" s="746"/>
      <c r="Y294" s="746"/>
      <c r="Z294" s="746"/>
      <c r="AA294" s="746"/>
      <c r="AB294" s="247">
        <f t="shared" si="38"/>
        <v>0</v>
      </c>
      <c r="AC294" s="247">
        <f t="shared" si="37"/>
        <v>0</v>
      </c>
      <c r="AD294" s="770"/>
      <c r="AE294" s="771"/>
      <c r="AF294" s="746"/>
      <c r="AG294" s="746"/>
      <c r="AH294" s="746"/>
      <c r="AI294" s="772"/>
      <c r="AJ294" s="793"/>
    </row>
    <row r="295" spans="1:36" s="258" customFormat="1" ht="20.100000000000001" customHeight="1">
      <c r="A295" s="840"/>
      <c r="B295" s="746"/>
      <c r="C295" s="746"/>
      <c r="D295" s="747"/>
      <c r="E295" s="746"/>
      <c r="F295" s="746"/>
      <c r="G295" s="746"/>
      <c r="H295" s="746"/>
      <c r="I295" s="746"/>
      <c r="J295" s="746"/>
      <c r="K295" s="746"/>
      <c r="L295" s="746"/>
      <c r="M295" s="746"/>
      <c r="N295" s="746"/>
      <c r="O295" s="749"/>
      <c r="P295" s="746"/>
      <c r="Q295" s="750"/>
      <c r="R295" s="855" t="e">
        <f t="shared" si="36"/>
        <v>#DIV/0!</v>
      </c>
      <c r="S295" s="750"/>
      <c r="T295" s="746"/>
      <c r="U295" s="750"/>
      <c r="V295" s="758"/>
      <c r="W295" s="750"/>
      <c r="X295" s="746"/>
      <c r="Y295" s="746"/>
      <c r="Z295" s="746"/>
      <c r="AA295" s="746"/>
      <c r="AB295" s="247">
        <f t="shared" si="38"/>
        <v>0</v>
      </c>
      <c r="AC295" s="247">
        <f t="shared" si="37"/>
        <v>0</v>
      </c>
      <c r="AD295" s="770"/>
      <c r="AE295" s="771"/>
      <c r="AF295" s="746"/>
      <c r="AG295" s="746"/>
      <c r="AH295" s="746"/>
      <c r="AI295" s="772"/>
      <c r="AJ295" s="793"/>
    </row>
    <row r="296" spans="1:36" s="258" customFormat="1" ht="20.100000000000001" customHeight="1">
      <c r="A296" s="718"/>
      <c r="B296" s="746"/>
      <c r="C296" s="746"/>
      <c r="D296" s="747"/>
      <c r="E296" s="746"/>
      <c r="F296" s="746"/>
      <c r="G296" s="746"/>
      <c r="H296" s="746"/>
      <c r="I296" s="746"/>
      <c r="J296" s="746"/>
      <c r="K296" s="737"/>
      <c r="L296" s="746"/>
      <c r="M296" s="746"/>
      <c r="N296" s="746"/>
      <c r="O296" s="749"/>
      <c r="P296" s="746"/>
      <c r="Q296" s="750"/>
      <c r="R296" s="855" t="e">
        <f t="shared" si="36"/>
        <v>#DIV/0!</v>
      </c>
      <c r="S296" s="750"/>
      <c r="T296" s="746"/>
      <c r="U296" s="750"/>
      <c r="V296" s="758"/>
      <c r="W296" s="750"/>
      <c r="X296" s="746"/>
      <c r="Y296" s="746"/>
      <c r="Z296" s="746"/>
      <c r="AA296" s="746"/>
      <c r="AB296" s="247">
        <f>W296*0.15%</f>
        <v>0</v>
      </c>
      <c r="AC296" s="247">
        <f t="shared" si="37"/>
        <v>0</v>
      </c>
      <c r="AD296" s="770"/>
      <c r="AE296" s="771"/>
      <c r="AF296" s="746"/>
      <c r="AG296" s="746"/>
      <c r="AH296" s="746"/>
      <c r="AI296" s="772"/>
      <c r="AJ296" s="793"/>
    </row>
    <row r="297" spans="1:36" s="258" customFormat="1" ht="20.100000000000001" customHeight="1">
      <c r="A297" s="840"/>
      <c r="B297" s="746"/>
      <c r="C297" s="746"/>
      <c r="D297" s="747"/>
      <c r="E297" s="746"/>
      <c r="F297" s="746"/>
      <c r="G297" s="746"/>
      <c r="H297" s="746"/>
      <c r="I297" s="746"/>
      <c r="J297" s="746"/>
      <c r="K297" s="746"/>
      <c r="L297" s="746"/>
      <c r="M297" s="746"/>
      <c r="N297" s="746"/>
      <c r="O297" s="749"/>
      <c r="P297" s="746"/>
      <c r="Q297" s="750"/>
      <c r="R297" s="855" t="e">
        <f t="shared" si="36"/>
        <v>#DIV/0!</v>
      </c>
      <c r="S297" s="750"/>
      <c r="T297" s="746"/>
      <c r="U297" s="750"/>
      <c r="V297" s="758"/>
      <c r="W297" s="750"/>
      <c r="X297" s="746"/>
      <c r="Y297" s="746"/>
      <c r="Z297" s="746"/>
      <c r="AA297" s="746"/>
      <c r="AB297" s="247">
        <f t="shared" si="38"/>
        <v>0</v>
      </c>
      <c r="AC297" s="247">
        <f t="shared" si="37"/>
        <v>0</v>
      </c>
      <c r="AD297" s="770"/>
      <c r="AE297" s="771"/>
      <c r="AF297" s="746"/>
      <c r="AG297" s="746"/>
      <c r="AH297" s="746"/>
      <c r="AI297" s="772"/>
      <c r="AJ297" s="793"/>
    </row>
    <row r="298" spans="1:36" s="258" customFormat="1" ht="20.100000000000001" customHeight="1">
      <c r="A298" s="840"/>
      <c r="B298" s="746"/>
      <c r="C298" s="746"/>
      <c r="D298" s="747"/>
      <c r="E298" s="746"/>
      <c r="F298" s="746"/>
      <c r="G298" s="746"/>
      <c r="H298" s="746"/>
      <c r="I298" s="746"/>
      <c r="J298" s="746"/>
      <c r="K298" s="737"/>
      <c r="L298" s="746"/>
      <c r="M298" s="746"/>
      <c r="N298" s="746"/>
      <c r="O298" s="749"/>
      <c r="P298" s="746"/>
      <c r="Q298" s="750"/>
      <c r="R298" s="855" t="e">
        <f t="shared" si="36"/>
        <v>#DIV/0!</v>
      </c>
      <c r="S298" s="750"/>
      <c r="T298" s="746"/>
      <c r="U298" s="750"/>
      <c r="V298" s="758"/>
      <c r="W298" s="750"/>
      <c r="X298" s="746"/>
      <c r="Y298" s="746"/>
      <c r="Z298" s="746"/>
      <c r="AA298" s="746"/>
      <c r="AB298" s="247">
        <f>W298*2.25%</f>
        <v>0</v>
      </c>
      <c r="AC298" s="247">
        <f t="shared" si="37"/>
        <v>0</v>
      </c>
      <c r="AD298" s="770"/>
      <c r="AE298" s="771"/>
      <c r="AF298" s="746"/>
      <c r="AG298" s="746"/>
      <c r="AH298" s="746"/>
      <c r="AI298" s="772"/>
      <c r="AJ298" s="793"/>
    </row>
    <row r="299" spans="1:36" s="258" customFormat="1" ht="20.100000000000001" customHeight="1">
      <c r="A299" s="840"/>
      <c r="B299" s="746"/>
      <c r="C299" s="746"/>
      <c r="D299" s="747"/>
      <c r="E299" s="746"/>
      <c r="F299" s="746"/>
      <c r="G299" s="746"/>
      <c r="H299" s="746"/>
      <c r="I299" s="746"/>
      <c r="J299" s="746"/>
      <c r="K299" s="737"/>
      <c r="L299" s="746"/>
      <c r="M299" s="746"/>
      <c r="N299" s="746"/>
      <c r="O299" s="749"/>
      <c r="P299" s="746"/>
      <c r="Q299" s="750"/>
      <c r="R299" s="855" t="e">
        <f t="shared" si="36"/>
        <v>#DIV/0!</v>
      </c>
      <c r="S299" s="750"/>
      <c r="T299" s="746"/>
      <c r="U299" s="750"/>
      <c r="V299" s="758"/>
      <c r="W299" s="750"/>
      <c r="X299" s="746"/>
      <c r="Y299" s="746"/>
      <c r="Z299" s="746"/>
      <c r="AA299" s="746"/>
      <c r="AB299" s="247">
        <f t="shared" si="38"/>
        <v>0</v>
      </c>
      <c r="AC299" s="247">
        <f t="shared" si="37"/>
        <v>0</v>
      </c>
      <c r="AD299" s="770"/>
      <c r="AE299" s="771"/>
      <c r="AF299" s="746"/>
      <c r="AG299" s="746"/>
      <c r="AH299" s="746"/>
      <c r="AI299" s="772"/>
      <c r="AJ299" s="793"/>
    </row>
    <row r="300" spans="1:36" s="258" customFormat="1" ht="20.100000000000001" customHeight="1">
      <c r="A300" s="840"/>
      <c r="B300" s="746"/>
      <c r="C300" s="746"/>
      <c r="D300" s="747"/>
      <c r="E300" s="746"/>
      <c r="F300" s="746"/>
      <c r="G300" s="746"/>
      <c r="H300" s="746"/>
      <c r="I300" s="746"/>
      <c r="J300" s="746"/>
      <c r="K300" s="746"/>
      <c r="L300" s="746"/>
      <c r="M300" s="746"/>
      <c r="N300" s="746"/>
      <c r="O300" s="749"/>
      <c r="P300" s="746"/>
      <c r="Q300" s="750"/>
      <c r="R300" s="855" t="e">
        <f t="shared" si="36"/>
        <v>#DIV/0!</v>
      </c>
      <c r="S300" s="750"/>
      <c r="T300" s="746"/>
      <c r="U300" s="750"/>
      <c r="V300" s="758"/>
      <c r="W300" s="750"/>
      <c r="X300" s="746"/>
      <c r="Y300" s="746"/>
      <c r="Z300" s="746"/>
      <c r="AA300" s="746"/>
      <c r="AB300" s="247">
        <f t="shared" si="38"/>
        <v>0</v>
      </c>
      <c r="AC300" s="247">
        <f t="shared" ref="AC300:AC314" si="39">(S300/1.11)</f>
        <v>0</v>
      </c>
      <c r="AD300" s="770"/>
      <c r="AE300" s="771"/>
      <c r="AF300" s="746"/>
      <c r="AG300" s="746"/>
      <c r="AH300" s="746"/>
      <c r="AI300" s="772"/>
      <c r="AJ300" s="793"/>
    </row>
    <row r="301" spans="1:36" s="258" customFormat="1" ht="20.100000000000001" customHeight="1">
      <c r="A301" s="840"/>
      <c r="B301" s="746"/>
      <c r="C301" s="746"/>
      <c r="D301" s="747"/>
      <c r="E301" s="746"/>
      <c r="F301" s="746"/>
      <c r="G301" s="746"/>
      <c r="H301" s="746"/>
      <c r="I301" s="746"/>
      <c r="J301" s="746"/>
      <c r="K301" s="746"/>
      <c r="L301" s="746"/>
      <c r="M301" s="746"/>
      <c r="N301" s="746"/>
      <c r="O301" s="749"/>
      <c r="P301" s="746"/>
      <c r="Q301" s="750"/>
      <c r="R301" s="855" t="e">
        <f t="shared" si="36"/>
        <v>#DIV/0!</v>
      </c>
      <c r="S301" s="750"/>
      <c r="T301" s="746"/>
      <c r="U301" s="750"/>
      <c r="V301" s="758"/>
      <c r="W301" s="750"/>
      <c r="X301" s="746"/>
      <c r="Y301" s="746"/>
      <c r="Z301" s="746"/>
      <c r="AA301" s="746"/>
      <c r="AB301" s="247">
        <f t="shared" si="38"/>
        <v>0</v>
      </c>
      <c r="AC301" s="247">
        <f t="shared" si="39"/>
        <v>0</v>
      </c>
      <c r="AD301" s="770"/>
      <c r="AE301" s="771"/>
      <c r="AF301" s="746"/>
      <c r="AG301" s="746"/>
      <c r="AH301" s="746"/>
      <c r="AI301" s="772"/>
      <c r="AJ301" s="793"/>
    </row>
    <row r="302" spans="1:36" s="258" customFormat="1" ht="20.100000000000001" customHeight="1">
      <c r="A302" s="840"/>
      <c r="B302" s="746"/>
      <c r="C302" s="746"/>
      <c r="D302" s="747"/>
      <c r="E302" s="746"/>
      <c r="F302" s="746"/>
      <c r="G302" s="746"/>
      <c r="H302" s="746"/>
      <c r="I302" s="746"/>
      <c r="J302" s="746"/>
      <c r="K302" s="721"/>
      <c r="L302" s="746"/>
      <c r="M302" s="746"/>
      <c r="N302" s="746"/>
      <c r="O302" s="749"/>
      <c r="P302" s="746"/>
      <c r="Q302" s="750"/>
      <c r="R302" s="855" t="e">
        <f t="shared" si="36"/>
        <v>#DIV/0!</v>
      </c>
      <c r="S302" s="750"/>
      <c r="T302" s="746"/>
      <c r="U302" s="750"/>
      <c r="V302" s="758"/>
      <c r="W302" s="750"/>
      <c r="X302" s="746"/>
      <c r="Y302" s="746"/>
      <c r="Z302" s="746"/>
      <c r="AA302" s="746"/>
      <c r="AB302" s="247">
        <f>W302*0.15%</f>
        <v>0</v>
      </c>
      <c r="AC302" s="247">
        <f t="shared" si="39"/>
        <v>0</v>
      </c>
      <c r="AD302" s="770"/>
      <c r="AE302" s="771"/>
      <c r="AF302" s="746"/>
      <c r="AG302" s="746"/>
      <c r="AH302" s="746"/>
      <c r="AI302" s="772"/>
      <c r="AJ302" s="760"/>
    </row>
    <row r="303" spans="1:36" s="258" customFormat="1" ht="20.100000000000001" customHeight="1">
      <c r="A303" s="840"/>
      <c r="B303" s="746"/>
      <c r="C303" s="746"/>
      <c r="D303" s="747"/>
      <c r="E303" s="746"/>
      <c r="F303" s="746"/>
      <c r="G303" s="746"/>
      <c r="H303" s="746"/>
      <c r="I303" s="746"/>
      <c r="J303" s="746"/>
      <c r="K303" s="746"/>
      <c r="L303" s="746"/>
      <c r="M303" s="746"/>
      <c r="N303" s="746"/>
      <c r="O303" s="749"/>
      <c r="P303" s="746"/>
      <c r="Q303" s="750"/>
      <c r="R303" s="855" t="e">
        <f t="shared" si="36"/>
        <v>#DIV/0!</v>
      </c>
      <c r="S303" s="750"/>
      <c r="T303" s="746"/>
      <c r="U303" s="750"/>
      <c r="V303" s="758"/>
      <c r="W303" s="750"/>
      <c r="X303" s="746"/>
      <c r="Y303" s="746"/>
      <c r="Z303" s="746"/>
      <c r="AA303" s="746"/>
      <c r="AB303" s="247">
        <f>W303*1.25%</f>
        <v>0</v>
      </c>
      <c r="AC303" s="247">
        <f t="shared" si="39"/>
        <v>0</v>
      </c>
      <c r="AD303" s="770"/>
      <c r="AE303" s="771"/>
      <c r="AF303" s="746"/>
      <c r="AG303" s="746"/>
      <c r="AH303" s="746"/>
      <c r="AI303" s="772"/>
      <c r="AJ303" s="793"/>
    </row>
    <row r="304" spans="1:36" s="258" customFormat="1" ht="20.100000000000001" customHeight="1">
      <c r="A304" s="840"/>
      <c r="B304" s="746"/>
      <c r="C304" s="746"/>
      <c r="D304" s="747"/>
      <c r="E304" s="746"/>
      <c r="F304" s="746"/>
      <c r="G304" s="746"/>
      <c r="H304" s="746"/>
      <c r="I304" s="746"/>
      <c r="J304" s="746"/>
      <c r="K304" s="746"/>
      <c r="L304" s="746"/>
      <c r="M304" s="746"/>
      <c r="N304" s="746"/>
      <c r="O304" s="749"/>
      <c r="P304" s="746"/>
      <c r="Q304" s="750"/>
      <c r="R304" s="855" t="e">
        <f t="shared" si="36"/>
        <v>#DIV/0!</v>
      </c>
      <c r="S304" s="750"/>
      <c r="T304" s="746"/>
      <c r="U304" s="750"/>
      <c r="V304" s="758"/>
      <c r="W304" s="750"/>
      <c r="X304" s="746"/>
      <c r="Y304" s="746"/>
      <c r="Z304" s="746"/>
      <c r="AA304" s="746"/>
      <c r="AB304" s="247">
        <f t="shared" si="38"/>
        <v>0</v>
      </c>
      <c r="AC304" s="247">
        <f t="shared" si="39"/>
        <v>0</v>
      </c>
      <c r="AD304" s="770"/>
      <c r="AE304" s="771"/>
      <c r="AF304" s="746"/>
      <c r="AG304" s="746"/>
      <c r="AH304" s="746"/>
      <c r="AI304" s="772"/>
      <c r="AJ304" s="793"/>
    </row>
    <row r="305" spans="1:39" s="258" customFormat="1" ht="20.100000000000001" customHeight="1">
      <c r="A305" s="840"/>
      <c r="B305" s="746"/>
      <c r="C305" s="746"/>
      <c r="D305" s="747"/>
      <c r="E305" s="746"/>
      <c r="F305" s="746"/>
      <c r="G305" s="746"/>
      <c r="H305" s="746"/>
      <c r="I305" s="746"/>
      <c r="J305" s="746"/>
      <c r="K305" s="746"/>
      <c r="L305" s="746"/>
      <c r="M305" s="746"/>
      <c r="N305" s="746"/>
      <c r="O305" s="749"/>
      <c r="P305" s="746"/>
      <c r="Q305" s="750"/>
      <c r="R305" s="855" t="e">
        <f t="shared" si="36"/>
        <v>#DIV/0!</v>
      </c>
      <c r="S305" s="750"/>
      <c r="T305" s="746"/>
      <c r="U305" s="750"/>
      <c r="V305" s="758"/>
      <c r="W305" s="750"/>
      <c r="X305" s="746"/>
      <c r="Y305" s="746"/>
      <c r="Z305" s="746"/>
      <c r="AA305" s="746"/>
      <c r="AB305" s="247">
        <f t="shared" si="38"/>
        <v>0</v>
      </c>
      <c r="AC305" s="247">
        <f t="shared" si="39"/>
        <v>0</v>
      </c>
      <c r="AD305" s="770"/>
      <c r="AE305" s="771"/>
      <c r="AF305" s="746"/>
      <c r="AG305" s="746"/>
      <c r="AH305" s="746"/>
      <c r="AI305" s="772"/>
      <c r="AJ305" s="793"/>
    </row>
    <row r="306" spans="1:39" s="258" customFormat="1" ht="20.100000000000001" customHeight="1">
      <c r="A306" s="840"/>
      <c r="B306" s="746"/>
      <c r="C306" s="746"/>
      <c r="D306" s="747"/>
      <c r="E306" s="746"/>
      <c r="F306" s="746"/>
      <c r="G306" s="746"/>
      <c r="H306" s="746"/>
      <c r="I306" s="746"/>
      <c r="J306" s="746"/>
      <c r="K306" s="746"/>
      <c r="L306" s="746"/>
      <c r="M306" s="746"/>
      <c r="N306" s="746"/>
      <c r="O306" s="749"/>
      <c r="P306" s="746"/>
      <c r="Q306" s="750"/>
      <c r="R306" s="855" t="e">
        <f t="shared" si="36"/>
        <v>#DIV/0!</v>
      </c>
      <c r="S306" s="750"/>
      <c r="T306" s="746"/>
      <c r="U306" s="750"/>
      <c r="V306" s="758"/>
      <c r="W306" s="750"/>
      <c r="X306" s="746"/>
      <c r="Y306" s="746"/>
      <c r="Z306" s="746"/>
      <c r="AA306" s="746"/>
      <c r="AB306" s="247">
        <f t="shared" si="38"/>
        <v>0</v>
      </c>
      <c r="AC306" s="247">
        <f t="shared" si="39"/>
        <v>0</v>
      </c>
      <c r="AD306" s="770"/>
      <c r="AE306" s="771"/>
      <c r="AF306" s="746"/>
      <c r="AG306" s="746"/>
      <c r="AH306" s="746"/>
      <c r="AI306" s="772"/>
      <c r="AJ306" s="793"/>
    </row>
    <row r="307" spans="1:39" s="258" customFormat="1" ht="20.100000000000001" customHeight="1">
      <c r="A307" s="840"/>
      <c r="B307" s="746"/>
      <c r="C307" s="746"/>
      <c r="D307" s="747"/>
      <c r="E307" s="746"/>
      <c r="F307" s="746"/>
      <c r="G307" s="746"/>
      <c r="H307" s="746"/>
      <c r="I307" s="746"/>
      <c r="J307" s="746"/>
      <c r="K307" s="746"/>
      <c r="L307" s="746"/>
      <c r="M307" s="746"/>
      <c r="N307" s="746"/>
      <c r="O307" s="749"/>
      <c r="P307" s="746"/>
      <c r="Q307" s="750"/>
      <c r="R307" s="855" t="e">
        <f t="shared" si="36"/>
        <v>#DIV/0!</v>
      </c>
      <c r="S307" s="750"/>
      <c r="T307" s="746"/>
      <c r="U307" s="750"/>
      <c r="V307" s="758"/>
      <c r="W307" s="750"/>
      <c r="X307" s="746"/>
      <c r="Y307" s="746"/>
      <c r="Z307" s="746"/>
      <c r="AA307" s="746"/>
      <c r="AB307" s="247">
        <f t="shared" si="38"/>
        <v>0</v>
      </c>
      <c r="AC307" s="247">
        <f t="shared" si="39"/>
        <v>0</v>
      </c>
      <c r="AD307" s="770"/>
      <c r="AE307" s="771"/>
      <c r="AF307" s="746"/>
      <c r="AG307" s="746"/>
      <c r="AH307" s="746"/>
      <c r="AI307" s="772"/>
      <c r="AJ307" s="793"/>
    </row>
    <row r="308" spans="1:39" s="258" customFormat="1" ht="20.100000000000001" customHeight="1">
      <c r="A308" s="840"/>
      <c r="B308" s="746"/>
      <c r="C308" s="746"/>
      <c r="D308" s="747"/>
      <c r="E308" s="746"/>
      <c r="F308" s="746"/>
      <c r="G308" s="746"/>
      <c r="H308" s="746"/>
      <c r="I308" s="746"/>
      <c r="J308" s="746"/>
      <c r="K308" s="746"/>
      <c r="L308" s="746"/>
      <c r="M308" s="746"/>
      <c r="N308" s="746"/>
      <c r="O308" s="749"/>
      <c r="P308" s="746"/>
      <c r="Q308" s="750"/>
      <c r="R308" s="855" t="e">
        <f t="shared" si="36"/>
        <v>#DIV/0!</v>
      </c>
      <c r="S308" s="750"/>
      <c r="T308" s="746"/>
      <c r="U308" s="750"/>
      <c r="V308" s="758"/>
      <c r="W308" s="750"/>
      <c r="X308" s="746"/>
      <c r="Y308" s="746"/>
      <c r="Z308" s="746"/>
      <c r="AA308" s="746"/>
      <c r="AB308" s="247">
        <f t="shared" si="38"/>
        <v>0</v>
      </c>
      <c r="AC308" s="247">
        <f t="shared" si="39"/>
        <v>0</v>
      </c>
      <c r="AD308" s="770"/>
      <c r="AE308" s="771"/>
      <c r="AF308" s="746"/>
      <c r="AG308" s="746"/>
      <c r="AH308" s="746"/>
      <c r="AI308" s="772"/>
      <c r="AJ308" s="793"/>
    </row>
    <row r="309" spans="1:39" s="258" customFormat="1" ht="20.100000000000001" customHeight="1">
      <c r="A309" s="840"/>
      <c r="B309" s="746"/>
      <c r="C309" s="746"/>
      <c r="D309" s="747"/>
      <c r="E309" s="746"/>
      <c r="F309" s="746"/>
      <c r="G309" s="746"/>
      <c r="H309" s="746"/>
      <c r="I309" s="746"/>
      <c r="J309" s="746"/>
      <c r="K309" s="746"/>
      <c r="L309" s="746"/>
      <c r="M309" s="746"/>
      <c r="N309" s="746"/>
      <c r="O309" s="749"/>
      <c r="P309" s="746"/>
      <c r="Q309" s="750"/>
      <c r="R309" s="855" t="e">
        <f t="shared" si="36"/>
        <v>#DIV/0!</v>
      </c>
      <c r="S309" s="750"/>
      <c r="T309" s="746"/>
      <c r="U309" s="750"/>
      <c r="V309" s="758"/>
      <c r="W309" s="750"/>
      <c r="X309" s="746"/>
      <c r="Y309" s="746"/>
      <c r="Z309" s="746"/>
      <c r="AA309" s="746"/>
      <c r="AB309" s="247">
        <f t="shared" si="38"/>
        <v>0</v>
      </c>
      <c r="AC309" s="247">
        <f t="shared" si="39"/>
        <v>0</v>
      </c>
      <c r="AD309" s="770"/>
      <c r="AE309" s="771"/>
      <c r="AF309" s="746"/>
      <c r="AG309" s="746"/>
      <c r="AH309" s="746"/>
      <c r="AI309" s="772"/>
      <c r="AJ309" s="793"/>
    </row>
    <row r="310" spans="1:39" s="258" customFormat="1" ht="20.100000000000001" customHeight="1">
      <c r="A310" s="840"/>
      <c r="B310" s="746"/>
      <c r="C310" s="746"/>
      <c r="D310" s="747"/>
      <c r="E310" s="746"/>
      <c r="F310" s="746"/>
      <c r="G310" s="746"/>
      <c r="H310" s="746"/>
      <c r="I310" s="746"/>
      <c r="J310" s="746"/>
      <c r="K310" s="746"/>
      <c r="L310" s="746"/>
      <c r="M310" s="746"/>
      <c r="N310" s="746"/>
      <c r="O310" s="749"/>
      <c r="P310" s="746"/>
      <c r="Q310" s="750"/>
      <c r="R310" s="855" t="e">
        <f t="shared" si="36"/>
        <v>#DIV/0!</v>
      </c>
      <c r="S310" s="750"/>
      <c r="T310" s="746"/>
      <c r="U310" s="750"/>
      <c r="V310" s="758"/>
      <c r="W310" s="750"/>
      <c r="X310" s="746"/>
      <c r="Y310" s="746"/>
      <c r="Z310" s="746"/>
      <c r="AA310" s="746"/>
      <c r="AB310" s="247">
        <f t="shared" si="38"/>
        <v>0</v>
      </c>
      <c r="AC310" s="247">
        <f t="shared" si="39"/>
        <v>0</v>
      </c>
      <c r="AD310" s="770"/>
      <c r="AE310" s="771"/>
      <c r="AF310" s="746"/>
      <c r="AG310" s="746"/>
      <c r="AH310" s="746"/>
      <c r="AI310" s="772"/>
      <c r="AJ310" s="793"/>
    </row>
    <row r="311" spans="1:39" s="258" customFormat="1" ht="20.100000000000001" customHeight="1">
      <c r="A311" s="751"/>
      <c r="B311" s="729"/>
      <c r="C311" s="729"/>
      <c r="D311" s="732"/>
      <c r="E311" s="729"/>
      <c r="F311" s="729"/>
      <c r="G311" s="729"/>
      <c r="H311" s="729"/>
      <c r="I311" s="729"/>
      <c r="J311" s="729"/>
      <c r="K311" s="729"/>
      <c r="L311" s="729"/>
      <c r="M311" s="729"/>
      <c r="N311" s="729"/>
      <c r="O311" s="730"/>
      <c r="P311" s="729"/>
      <c r="Q311" s="731"/>
      <c r="R311" s="855" t="e">
        <f t="shared" si="36"/>
        <v>#DIV/0!</v>
      </c>
      <c r="S311" s="731"/>
      <c r="T311" s="729"/>
      <c r="U311" s="731"/>
      <c r="V311" s="755"/>
      <c r="W311" s="731"/>
      <c r="X311" s="729"/>
      <c r="Y311" s="729"/>
      <c r="Z311" s="729"/>
      <c r="AA311" s="729"/>
      <c r="AB311" s="247">
        <f t="shared" si="38"/>
        <v>0</v>
      </c>
      <c r="AC311" s="247">
        <f t="shared" si="39"/>
        <v>0</v>
      </c>
      <c r="AD311" s="763"/>
      <c r="AE311" s="764"/>
      <c r="AF311" s="729"/>
      <c r="AG311" s="729"/>
      <c r="AH311" s="729"/>
      <c r="AI311" s="753"/>
      <c r="AJ311" s="729"/>
    </row>
    <row r="312" spans="1:39" s="258" customFormat="1" ht="20.100000000000001" customHeight="1">
      <c r="A312" s="751"/>
      <c r="B312" s="729"/>
      <c r="C312" s="729"/>
      <c r="D312" s="732"/>
      <c r="E312" s="729"/>
      <c r="F312" s="729"/>
      <c r="G312" s="729"/>
      <c r="H312" s="729"/>
      <c r="I312" s="729"/>
      <c r="J312" s="729"/>
      <c r="K312" s="729"/>
      <c r="L312" s="729"/>
      <c r="M312" s="729"/>
      <c r="N312" s="729"/>
      <c r="O312" s="730"/>
      <c r="P312" s="729"/>
      <c r="Q312" s="731"/>
      <c r="R312" s="855" t="e">
        <f t="shared" ref="R312:R319" si="40">(Q312-S312)/Q312*100</f>
        <v>#DIV/0!</v>
      </c>
      <c r="S312" s="731"/>
      <c r="T312" s="729"/>
      <c r="U312" s="731"/>
      <c r="V312" s="755"/>
      <c r="W312" s="731"/>
      <c r="X312" s="729"/>
      <c r="Y312" s="729"/>
      <c r="Z312" s="729"/>
      <c r="AA312" s="729"/>
      <c r="AB312" s="247">
        <f t="shared" si="38"/>
        <v>0</v>
      </c>
      <c r="AC312" s="247">
        <f t="shared" si="39"/>
        <v>0</v>
      </c>
      <c r="AD312" s="763"/>
      <c r="AE312" s="764"/>
      <c r="AF312" s="729"/>
      <c r="AG312" s="729"/>
      <c r="AH312" s="729"/>
      <c r="AI312" s="753"/>
      <c r="AJ312" s="729"/>
    </row>
    <row r="313" spans="1:39" s="258" customFormat="1" ht="20.100000000000001" customHeight="1">
      <c r="A313" s="718"/>
      <c r="B313" s="729"/>
      <c r="C313" s="729"/>
      <c r="D313" s="732"/>
      <c r="E313" s="729"/>
      <c r="F313" s="729"/>
      <c r="G313" s="729"/>
      <c r="H313" s="729"/>
      <c r="I313" s="729"/>
      <c r="J313" s="729"/>
      <c r="K313" s="721"/>
      <c r="L313" s="729"/>
      <c r="M313" s="729"/>
      <c r="N313" s="729"/>
      <c r="O313" s="730"/>
      <c r="P313" s="729"/>
      <c r="Q313" s="731"/>
      <c r="R313" s="855" t="e">
        <f t="shared" si="40"/>
        <v>#DIV/0!</v>
      </c>
      <c r="S313" s="731"/>
      <c r="T313" s="729"/>
      <c r="U313" s="731"/>
      <c r="V313" s="755"/>
      <c r="W313" s="731"/>
      <c r="X313" s="729"/>
      <c r="Y313" s="729"/>
      <c r="Z313" s="729"/>
      <c r="AA313" s="729"/>
      <c r="AB313" s="247">
        <f t="shared" si="38"/>
        <v>0</v>
      </c>
      <c r="AC313" s="247">
        <f t="shared" si="39"/>
        <v>0</v>
      </c>
      <c r="AD313" s="763"/>
      <c r="AE313" s="764"/>
      <c r="AF313" s="729"/>
      <c r="AG313" s="729"/>
      <c r="AH313" s="729"/>
      <c r="AI313" s="753"/>
      <c r="AJ313" s="729"/>
    </row>
    <row r="314" spans="1:39" s="258" customFormat="1" ht="20.100000000000001" customHeight="1">
      <c r="A314" s="751"/>
      <c r="B314" s="729"/>
      <c r="C314" s="729"/>
      <c r="D314" s="732"/>
      <c r="E314" s="729"/>
      <c r="F314" s="729"/>
      <c r="G314" s="729"/>
      <c r="H314" s="729"/>
      <c r="I314" s="729"/>
      <c r="J314" s="729"/>
      <c r="K314" s="729"/>
      <c r="L314" s="729"/>
      <c r="M314" s="729"/>
      <c r="N314" s="729"/>
      <c r="O314" s="730"/>
      <c r="P314" s="729"/>
      <c r="Q314" s="731"/>
      <c r="R314" s="855" t="e">
        <f t="shared" si="40"/>
        <v>#DIV/0!</v>
      </c>
      <c r="S314" s="731"/>
      <c r="T314" s="729"/>
      <c r="U314" s="731"/>
      <c r="V314" s="755"/>
      <c r="W314" s="731"/>
      <c r="X314" s="729"/>
      <c r="Y314" s="729"/>
      <c r="Z314" s="729"/>
      <c r="AA314" s="729"/>
      <c r="AB314" s="247">
        <f t="shared" si="38"/>
        <v>0</v>
      </c>
      <c r="AC314" s="247">
        <f t="shared" si="39"/>
        <v>0</v>
      </c>
      <c r="AD314" s="763"/>
      <c r="AE314" s="764"/>
      <c r="AF314" s="729"/>
      <c r="AG314" s="729"/>
      <c r="AH314" s="729"/>
      <c r="AI314" s="753"/>
      <c r="AJ314" s="729"/>
    </row>
    <row r="315" spans="1:39" s="258" customFormat="1" ht="20.100000000000001" customHeight="1">
      <c r="A315" s="751"/>
      <c r="B315" s="729"/>
      <c r="C315" s="729"/>
      <c r="D315" s="732"/>
      <c r="E315" s="729"/>
      <c r="F315" s="729"/>
      <c r="G315" s="729"/>
      <c r="H315" s="729"/>
      <c r="I315" s="729"/>
      <c r="J315" s="729"/>
      <c r="K315" s="729"/>
      <c r="L315" s="729"/>
      <c r="M315" s="729"/>
      <c r="N315" s="729"/>
      <c r="O315" s="730"/>
      <c r="P315" s="729"/>
      <c r="Q315" s="731"/>
      <c r="R315" s="855" t="e">
        <f t="shared" si="40"/>
        <v>#DIV/0!</v>
      </c>
      <c r="S315" s="731"/>
      <c r="T315" s="729"/>
      <c r="U315" s="731"/>
      <c r="V315" s="755"/>
      <c r="W315" s="731"/>
      <c r="X315" s="729"/>
      <c r="Y315" s="729"/>
      <c r="Z315" s="729"/>
      <c r="AA315" s="729"/>
      <c r="AB315" s="247">
        <f t="shared" si="38"/>
        <v>0</v>
      </c>
      <c r="AC315" s="247">
        <f>(S315/1.11)</f>
        <v>0</v>
      </c>
      <c r="AD315" s="763"/>
      <c r="AE315" s="764"/>
      <c r="AF315" s="729"/>
      <c r="AG315" s="729"/>
      <c r="AH315" s="729"/>
      <c r="AI315" s="753"/>
      <c r="AJ315" s="729"/>
    </row>
    <row r="316" spans="1:39" s="258" customFormat="1" ht="20.100000000000001" customHeight="1">
      <c r="A316" s="751"/>
      <c r="B316" s="729"/>
      <c r="C316" s="729"/>
      <c r="D316" s="732"/>
      <c r="E316" s="729"/>
      <c r="F316" s="729"/>
      <c r="G316" s="729"/>
      <c r="H316" s="729"/>
      <c r="I316" s="729"/>
      <c r="J316" s="729"/>
      <c r="K316" s="729"/>
      <c r="L316" s="729"/>
      <c r="M316" s="729"/>
      <c r="N316" s="729"/>
      <c r="O316" s="730"/>
      <c r="P316" s="729"/>
      <c r="Q316" s="731"/>
      <c r="R316" s="855" t="e">
        <f t="shared" si="40"/>
        <v>#DIV/0!</v>
      </c>
      <c r="S316" s="731"/>
      <c r="T316" s="729"/>
      <c r="U316" s="731"/>
      <c r="V316" s="755"/>
      <c r="W316" s="731"/>
      <c r="X316" s="729"/>
      <c r="Y316" s="729"/>
      <c r="Z316" s="729"/>
      <c r="AA316" s="729"/>
      <c r="AB316" s="247">
        <f t="shared" si="15"/>
        <v>0</v>
      </c>
      <c r="AC316" s="247">
        <f>(S316/1.11)</f>
        <v>0</v>
      </c>
      <c r="AD316" s="763"/>
      <c r="AE316" s="764"/>
      <c r="AF316" s="729"/>
      <c r="AG316" s="729"/>
      <c r="AH316" s="729"/>
      <c r="AI316" s="753"/>
      <c r="AJ316" s="729"/>
    </row>
    <row r="317" spans="1:39" s="258" customFormat="1" ht="20.100000000000001" customHeight="1">
      <c r="A317" s="751"/>
      <c r="B317" s="729"/>
      <c r="C317" s="729"/>
      <c r="D317" s="732"/>
      <c r="E317" s="729"/>
      <c r="F317" s="729"/>
      <c r="G317" s="729"/>
      <c r="H317" s="729"/>
      <c r="I317" s="729"/>
      <c r="J317" s="729"/>
      <c r="K317" s="729"/>
      <c r="L317" s="729"/>
      <c r="M317" s="729"/>
      <c r="N317" s="729"/>
      <c r="O317" s="730"/>
      <c r="P317" s="729"/>
      <c r="Q317" s="731"/>
      <c r="R317" s="855" t="e">
        <f t="shared" si="40"/>
        <v>#DIV/0!</v>
      </c>
      <c r="S317" s="731"/>
      <c r="T317" s="729"/>
      <c r="U317" s="731"/>
      <c r="V317" s="755"/>
      <c r="W317" s="731"/>
      <c r="X317" s="729"/>
      <c r="Y317" s="729"/>
      <c r="Z317" s="729"/>
      <c r="AA317" s="729"/>
      <c r="AB317" s="247">
        <f>W317*1.3%</f>
        <v>0</v>
      </c>
      <c r="AC317" s="247">
        <f>(S317/1.11)</f>
        <v>0</v>
      </c>
      <c r="AD317" s="763"/>
      <c r="AE317" s="764"/>
      <c r="AF317" s="729"/>
      <c r="AG317" s="729"/>
      <c r="AH317" s="729"/>
      <c r="AI317" s="753"/>
      <c r="AJ317" s="754"/>
    </row>
    <row r="318" spans="1:39" s="258" customFormat="1" ht="18.75" customHeight="1">
      <c r="A318" s="813"/>
      <c r="B318" s="748"/>
      <c r="C318" s="748"/>
      <c r="D318" s="814"/>
      <c r="E318" s="729"/>
      <c r="F318" s="748"/>
      <c r="G318" s="748"/>
      <c r="H318" s="748"/>
      <c r="I318" s="748"/>
      <c r="J318" s="748"/>
      <c r="K318" s="815"/>
      <c r="L318" s="748"/>
      <c r="M318" s="748"/>
      <c r="N318" s="748"/>
      <c r="O318" s="816"/>
      <c r="P318" s="748"/>
      <c r="Q318" s="817"/>
      <c r="R318" s="855" t="e">
        <f t="shared" si="40"/>
        <v>#DIV/0!</v>
      </c>
      <c r="S318" s="817"/>
      <c r="T318" s="748"/>
      <c r="U318" s="817"/>
      <c r="V318" s="845"/>
      <c r="W318" s="817"/>
      <c r="X318" s="748"/>
      <c r="Y318" s="748"/>
      <c r="Z318" s="748"/>
      <c r="AA318" s="759"/>
      <c r="AB318" s="247">
        <f t="shared" si="15"/>
        <v>0</v>
      </c>
      <c r="AC318" s="247">
        <f>(S318/1.11)</f>
        <v>0</v>
      </c>
      <c r="AD318" s="818"/>
      <c r="AE318" s="819"/>
      <c r="AF318" s="748"/>
      <c r="AG318" s="748"/>
      <c r="AH318" s="748"/>
      <c r="AI318" s="820"/>
      <c r="AJ318" s="748"/>
    </row>
    <row r="319" spans="1:39" s="400" customFormat="1" ht="20.100000000000001" customHeight="1">
      <c r="A319" s="821"/>
      <c r="B319" s="721"/>
      <c r="C319" s="721"/>
      <c r="D319" s="822"/>
      <c r="E319" s="725"/>
      <c r="F319" s="721"/>
      <c r="G319" s="721"/>
      <c r="H319" s="721"/>
      <c r="I319" s="721"/>
      <c r="J319" s="721"/>
      <c r="K319" s="822"/>
      <c r="L319" s="721"/>
      <c r="M319" s="721"/>
      <c r="N319" s="721"/>
      <c r="O319" s="822"/>
      <c r="P319" s="721"/>
      <c r="Q319" s="823"/>
      <c r="R319" s="855" t="e">
        <f t="shared" si="40"/>
        <v>#DIV/0!</v>
      </c>
      <c r="S319" s="846"/>
      <c r="T319" s="721"/>
      <c r="U319" s="846"/>
      <c r="V319" s="847"/>
      <c r="W319" s="846"/>
      <c r="X319" s="721"/>
      <c r="Y319" s="721"/>
      <c r="Z319" s="721"/>
      <c r="AA319" s="568"/>
      <c r="AB319" s="247">
        <f t="shared" si="15"/>
        <v>0</v>
      </c>
      <c r="AC319" s="247">
        <f>(S319/1.11)</f>
        <v>0</v>
      </c>
      <c r="AD319" s="319"/>
      <c r="AE319" s="247"/>
      <c r="AF319" s="235"/>
      <c r="AG319" s="235"/>
      <c r="AH319" s="270"/>
      <c r="AI319" s="251"/>
      <c r="AJ319" s="235"/>
      <c r="AK319" s="398"/>
      <c r="AL319" s="399"/>
      <c r="AM319" s="399"/>
    </row>
    <row r="320" spans="1:39" ht="20.100000000000001" customHeight="1">
      <c r="A320" s="383"/>
      <c r="B320" s="384"/>
      <c r="C320" s="385"/>
      <c r="D320" s="115" t="s">
        <v>20</v>
      </c>
      <c r="E320" s="678"/>
      <c r="F320" s="385"/>
      <c r="G320" s="386">
        <f>SUM(G7:G319)</f>
        <v>25</v>
      </c>
      <c r="H320" s="386">
        <f>SUM(H7:H319)</f>
        <v>29</v>
      </c>
      <c r="I320" s="386">
        <f>SUM(I7:I319)</f>
        <v>24</v>
      </c>
      <c r="J320" s="386">
        <f>SUM(J7:J319)</f>
        <v>30</v>
      </c>
      <c r="K320" s="115"/>
      <c r="L320" s="114"/>
      <c r="M320" s="114"/>
      <c r="N320" s="114"/>
      <c r="O320" s="115"/>
      <c r="P320" s="114">
        <f>SUM(P7:P319)</f>
        <v>63</v>
      </c>
      <c r="Q320" s="387">
        <f>SUM(Q7:Q319)</f>
        <v>10774340000</v>
      </c>
      <c r="R320" s="859"/>
      <c r="S320" s="389">
        <f>SUM(S7:S319)</f>
        <v>10401445000</v>
      </c>
      <c r="T320" s="390"/>
      <c r="U320" s="389"/>
      <c r="V320" s="391">
        <f>SUM(V7:V319)</f>
        <v>5998550000</v>
      </c>
      <c r="W320" s="392">
        <f>SUM(W7:W319)</f>
        <v>3380240000</v>
      </c>
      <c r="X320" s="393"/>
      <c r="Y320" s="393"/>
      <c r="Z320" s="394"/>
      <c r="AA320" s="569"/>
      <c r="AB320" s="395">
        <f>SUM(AB7:AB319)</f>
        <v>46158080</v>
      </c>
      <c r="AC320" s="395">
        <f>SUM(AC7:AC319)</f>
        <v>9370671171.1711712</v>
      </c>
      <c r="AD320" s="396">
        <f>SUM(AD7:AD319)</f>
        <v>9370671171.1711712</v>
      </c>
      <c r="AE320" s="397"/>
      <c r="AF320" s="124"/>
      <c r="AG320" s="394"/>
      <c r="AH320" s="390"/>
      <c r="AI320" s="385"/>
      <c r="AJ320" s="390"/>
      <c r="AK320" s="407"/>
    </row>
    <row r="321" spans="3:37" ht="17.100000000000001" customHeight="1">
      <c r="C321" s="127"/>
      <c r="D321" s="129"/>
      <c r="E321" s="127"/>
      <c r="F321" s="127"/>
      <c r="G321" s="401"/>
      <c r="H321" s="401"/>
      <c r="I321" s="127"/>
      <c r="K321" s="129"/>
      <c r="L321" s="127"/>
      <c r="M321" s="128"/>
      <c r="N321" s="128"/>
      <c r="O321" s="129"/>
      <c r="P321" s="127" t="s">
        <v>21</v>
      </c>
      <c r="Q321" s="402"/>
      <c r="R321" s="854"/>
      <c r="S321" s="403"/>
      <c r="U321" s="403"/>
      <c r="V321" s="404"/>
      <c r="W321" s="405"/>
      <c r="X321" s="406"/>
      <c r="Y321" s="406"/>
      <c r="Z321" s="404"/>
      <c r="AA321" s="570"/>
      <c r="AB321" s="352"/>
      <c r="AF321" s="136"/>
      <c r="AG321" s="404"/>
      <c r="AK321" s="407"/>
    </row>
    <row r="322" spans="3:37" ht="17.100000000000001" customHeight="1">
      <c r="C322" s="127"/>
      <c r="D322" s="129"/>
      <c r="E322" s="127"/>
      <c r="F322" s="127"/>
      <c r="G322" s="401"/>
      <c r="H322" s="401"/>
      <c r="I322" s="127"/>
      <c r="K322" s="129"/>
      <c r="L322" s="127"/>
      <c r="M322" s="127"/>
      <c r="N322" s="127"/>
      <c r="O322" s="129"/>
      <c r="P322" s="127"/>
      <c r="Q322" s="402"/>
      <c r="S322" s="403"/>
      <c r="U322" s="403"/>
      <c r="V322" s="401"/>
      <c r="W322" s="408"/>
      <c r="X322" s="401"/>
      <c r="Y322" s="401"/>
      <c r="Z322" s="401"/>
      <c r="AA322" s="570"/>
      <c r="AC322" s="409" t="s">
        <v>755</v>
      </c>
      <c r="AD322" s="410">
        <v>13500000000</v>
      </c>
      <c r="AE322" s="367"/>
      <c r="AF322" s="128"/>
      <c r="AG322" s="406"/>
      <c r="AK322" s="407"/>
    </row>
    <row r="323" spans="3:37" ht="17.100000000000001" customHeight="1">
      <c r="C323" s="127"/>
      <c r="D323" s="129"/>
      <c r="E323" s="127"/>
      <c r="F323" s="127"/>
      <c r="G323" s="401"/>
      <c r="H323" s="401"/>
      <c r="I323" s="127"/>
      <c r="K323" s="129"/>
      <c r="L323" s="127"/>
      <c r="M323" s="127"/>
      <c r="N323" s="127"/>
      <c r="O323" s="129"/>
      <c r="P323" s="127"/>
      <c r="Q323" s="402"/>
      <c r="S323" s="403"/>
      <c r="U323" s="403"/>
      <c r="V323" s="401"/>
      <c r="W323" s="408"/>
      <c r="X323" s="401"/>
      <c r="Y323" s="401"/>
      <c r="Z323" s="401"/>
      <c r="AA323" s="570"/>
      <c r="AC323" s="411" t="s">
        <v>45</v>
      </c>
      <c r="AD323" s="412">
        <f>AC320</f>
        <v>9370671171.1711712</v>
      </c>
      <c r="AE323" s="367"/>
      <c r="AF323" s="128"/>
      <c r="AG323" s="406"/>
      <c r="AK323" s="407"/>
    </row>
    <row r="324" spans="3:37" ht="17.100000000000001" customHeight="1">
      <c r="C324" s="127"/>
      <c r="D324" s="129"/>
      <c r="E324" s="127"/>
      <c r="F324" s="127"/>
      <c r="G324" s="401"/>
      <c r="H324" s="401"/>
      <c r="I324" s="127"/>
      <c r="K324" s="129"/>
      <c r="L324" s="127"/>
      <c r="M324" s="127"/>
      <c r="N324" s="127"/>
      <c r="O324" s="129"/>
      <c r="P324" s="127"/>
      <c r="Q324" s="402"/>
      <c r="S324" s="403"/>
      <c r="U324" s="403"/>
      <c r="V324" s="401"/>
      <c r="W324" s="408"/>
      <c r="X324" s="401"/>
      <c r="Y324" s="401"/>
      <c r="Z324" s="401"/>
      <c r="AA324" s="570"/>
      <c r="AC324" s="411" t="s">
        <v>23</v>
      </c>
      <c r="AD324" s="412">
        <f>SMI!AB44</f>
        <v>211891891.89189187</v>
      </c>
      <c r="AF324" s="128"/>
      <c r="AG324" s="406"/>
      <c r="AK324" s="407"/>
    </row>
    <row r="325" spans="3:37" ht="17.100000000000001" customHeight="1">
      <c r="C325" s="127"/>
      <c r="D325" s="129"/>
      <c r="E325" s="127"/>
      <c r="F325" s="127"/>
      <c r="G325" s="401"/>
      <c r="H325" s="401"/>
      <c r="I325" s="127"/>
      <c r="K325" s="129"/>
      <c r="L325" s="127"/>
      <c r="M325" s="127"/>
      <c r="N325" s="127"/>
      <c r="O325" s="129"/>
      <c r="P325" s="127"/>
      <c r="Q325" s="402"/>
      <c r="S325" s="403"/>
      <c r="U325" s="403"/>
      <c r="V325" s="401"/>
      <c r="W325" s="408"/>
      <c r="X325" s="401"/>
      <c r="Y325" s="401"/>
      <c r="Z325" s="401"/>
      <c r="AA325" s="570"/>
      <c r="AC325" s="411" t="s">
        <v>24</v>
      </c>
      <c r="AD325" s="412">
        <f>AD323+AD324</f>
        <v>9582563063.0630627</v>
      </c>
      <c r="AF325" s="128"/>
      <c r="AG325" s="406"/>
      <c r="AK325" s="407"/>
    </row>
    <row r="326" spans="3:37" ht="17.100000000000001" customHeight="1">
      <c r="C326" s="127"/>
      <c r="D326" s="129"/>
      <c r="E326" s="127"/>
      <c r="F326" s="127"/>
      <c r="G326" s="401"/>
      <c r="H326" s="401"/>
      <c r="I326" s="127"/>
      <c r="K326" s="129"/>
      <c r="L326" s="127"/>
      <c r="M326" s="127"/>
      <c r="N326" s="127"/>
      <c r="O326" s="129"/>
      <c r="P326" s="127"/>
      <c r="Q326" s="402"/>
      <c r="S326" s="403"/>
      <c r="U326" s="403"/>
      <c r="V326" s="401"/>
      <c r="W326" s="408"/>
      <c r="X326" s="401"/>
      <c r="Y326" s="401"/>
      <c r="Z326" s="401"/>
      <c r="AA326" s="570"/>
      <c r="AC326" s="411" t="s">
        <v>73</v>
      </c>
      <c r="AD326" s="413">
        <f>AD325/$AD$322</f>
        <v>0.70981948615281942</v>
      </c>
      <c r="AF326" s="128"/>
      <c r="AG326" s="406"/>
      <c r="AK326" s="407"/>
    </row>
    <row r="327" spans="3:37" ht="17.100000000000001" customHeight="1">
      <c r="C327" s="127"/>
      <c r="D327" s="129"/>
      <c r="E327" s="127"/>
      <c r="F327" s="127"/>
      <c r="G327" s="401"/>
      <c r="H327" s="401"/>
      <c r="I327" s="127"/>
      <c r="K327" s="129"/>
      <c r="L327" s="127"/>
      <c r="M327" s="127"/>
      <c r="N327" s="127"/>
      <c r="O327" s="129"/>
      <c r="P327" s="127"/>
      <c r="Q327" s="402"/>
      <c r="S327" s="403"/>
      <c r="U327" s="403"/>
      <c r="V327" s="401"/>
      <c r="W327" s="408"/>
      <c r="X327" s="401"/>
      <c r="Y327" s="401"/>
      <c r="Z327" s="401"/>
      <c r="AA327" s="401"/>
      <c r="AF327" s="128"/>
      <c r="AG327" s="406"/>
      <c r="AK327" s="407"/>
    </row>
    <row r="328" spans="3:37" ht="21.75" customHeight="1">
      <c r="C328" s="127"/>
      <c r="D328" s="129"/>
      <c r="E328" s="127"/>
      <c r="F328" s="127"/>
      <c r="G328" s="401"/>
      <c r="H328" s="401"/>
      <c r="I328" s="127"/>
      <c r="K328" s="129"/>
      <c r="L328" s="127"/>
      <c r="M328" s="127"/>
      <c r="N328" s="127"/>
      <c r="O328" s="129"/>
      <c r="P328" s="127"/>
      <c r="Q328" s="402"/>
      <c r="S328" s="403"/>
      <c r="U328" s="403"/>
      <c r="V328" s="401"/>
      <c r="W328" s="408"/>
      <c r="X328" s="401"/>
      <c r="Y328" s="401"/>
      <c r="Z328" s="401"/>
      <c r="AA328" s="401"/>
      <c r="AC328" s="411" t="s">
        <v>754</v>
      </c>
      <c r="AD328" s="414">
        <f>DS!AD325+'IN AND OUT'!AD28-'IN AND OUT'!AC46</f>
        <v>9582563063.0630627</v>
      </c>
      <c r="AF328" s="128"/>
      <c r="AG328" s="406"/>
      <c r="AK328" s="407"/>
    </row>
    <row r="329" spans="3:37" ht="21.75" customHeight="1">
      <c r="C329" s="415"/>
      <c r="D329" s="415"/>
      <c r="E329" s="415"/>
      <c r="F329" s="141"/>
      <c r="G329" s="142"/>
      <c r="H329" s="141"/>
      <c r="I329" s="141"/>
      <c r="K329" s="141"/>
      <c r="L329" s="141"/>
      <c r="M329" s="141"/>
      <c r="N329" s="141"/>
      <c r="O329" s="141"/>
      <c r="P329" s="142"/>
      <c r="Q329" s="141"/>
      <c r="R329" s="860"/>
      <c r="S329" s="47"/>
      <c r="U329" s="47"/>
      <c r="V329" s="416"/>
      <c r="W329" s="300"/>
      <c r="X329" s="416"/>
      <c r="Y329" s="415"/>
      <c r="Z329" s="415"/>
      <c r="AA329" s="141"/>
      <c r="AB329" s="141"/>
      <c r="AC329" s="411" t="s">
        <v>73</v>
      </c>
      <c r="AD329" s="417">
        <f>AD328/$AD$322</f>
        <v>0.70981948615281942</v>
      </c>
      <c r="AF329" s="151"/>
      <c r="AG329" s="151"/>
      <c r="AK329" s="407"/>
    </row>
    <row r="330" spans="3:37" ht="22.5" customHeight="1">
      <c r="C330" s="415"/>
      <c r="D330" s="418"/>
      <c r="E330" s="418"/>
      <c r="F330" s="141"/>
      <c r="G330" s="419"/>
      <c r="H330" s="141"/>
      <c r="I330" s="141"/>
      <c r="K330" s="141"/>
      <c r="L330" s="141"/>
      <c r="M330" s="141"/>
      <c r="N330" s="141"/>
      <c r="O330" s="141"/>
      <c r="P330" s="142"/>
      <c r="Q330" s="141"/>
      <c r="R330" s="860"/>
      <c r="S330" s="47"/>
      <c r="U330" s="47"/>
      <c r="V330" s="416"/>
      <c r="W330" s="300"/>
      <c r="X330" s="416"/>
      <c r="Y330" s="415"/>
      <c r="Z330" s="415"/>
      <c r="AA330" s="141"/>
      <c r="AB330" s="141"/>
      <c r="AF330" s="151"/>
      <c r="AG330" s="151"/>
      <c r="AK330" s="407"/>
    </row>
    <row r="331" spans="3:37" ht="20.25" customHeight="1"/>
    <row r="332" spans="3:37" ht="12.75" customHeight="1">
      <c r="AC332" s="420" t="s">
        <v>782</v>
      </c>
      <c r="AD332" s="421">
        <f>(AD322-AD328)*1.11</f>
        <v>4348355000.000001</v>
      </c>
    </row>
    <row r="65545" ht="26.25" customHeight="1"/>
    <row r="65668" spans="13:13" ht="12.75" customHeight="1">
      <c r="M65668" s="153"/>
    </row>
    <row r="1048477" spans="15:15" ht="12.75" customHeight="1">
      <c r="O1048477" s="571"/>
    </row>
    <row r="1048549" spans="11:11" ht="12.75" customHeight="1">
      <c r="K1048549" s="746"/>
    </row>
  </sheetData>
  <sheetProtection selectLockedCells="1" selectUnlockedCells="1"/>
  <autoFilter ref="A1:AJ326"/>
  <mergeCells count="29">
    <mergeCell ref="D5:D6"/>
    <mergeCell ref="B5:B6"/>
    <mergeCell ref="A5:A6"/>
    <mergeCell ref="L5:L6"/>
    <mergeCell ref="M5:M6"/>
    <mergeCell ref="I5:I6"/>
    <mergeCell ref="J5:J6"/>
    <mergeCell ref="K5:K6"/>
    <mergeCell ref="F5:F6"/>
    <mergeCell ref="C5:C6"/>
    <mergeCell ref="G5:G6"/>
    <mergeCell ref="H5:H6"/>
    <mergeCell ref="E5:E6"/>
    <mergeCell ref="AJ5:AJ6"/>
    <mergeCell ref="AI5:AI6"/>
    <mergeCell ref="AH5:AH6"/>
    <mergeCell ref="AE5:AE6"/>
    <mergeCell ref="AF5:AF6"/>
    <mergeCell ref="AG5:AG6"/>
    <mergeCell ref="AD5:AD6"/>
    <mergeCell ref="AC5:AC6"/>
    <mergeCell ref="N5:N6"/>
    <mergeCell ref="O5:O6"/>
    <mergeCell ref="P5:P6"/>
    <mergeCell ref="Q5:Q6"/>
    <mergeCell ref="R5:R6"/>
    <mergeCell ref="S5:S6"/>
    <mergeCell ref="U5:AB5"/>
    <mergeCell ref="T5:T6"/>
  </mergeCells>
  <phoneticPr fontId="31" type="noConversion"/>
  <conditionalFormatting sqref="B72:B73 B62:B68 B1:B6 B8:B15 B130:B137 B222:B264 B266:B268 B270:B1048576 B19:B36 B41:B55 B75:B128 B139:B190 B192:B220">
    <cfRule type="cellIs" dxfId="104" priority="59" operator="equal">
      <formula>"VOID"</formula>
    </cfRule>
    <cfRule type="cellIs" dxfId="103" priority="60" operator="equal">
      <formula>"NO SALE"</formula>
    </cfRule>
  </conditionalFormatting>
  <conditionalFormatting sqref="B69:B70">
    <cfRule type="cellIs" dxfId="102" priority="39" operator="equal">
      <formula>"VOID"</formula>
    </cfRule>
    <cfRule type="cellIs" dxfId="101" priority="40" operator="equal">
      <formula>"NO SALE"</formula>
    </cfRule>
  </conditionalFormatting>
  <conditionalFormatting sqref="B56:B58">
    <cfRule type="cellIs" dxfId="100" priority="37" operator="equal">
      <formula>"VOID"</formula>
    </cfRule>
    <cfRule type="cellIs" dxfId="99" priority="38" operator="equal">
      <formula>"NO SALE"</formula>
    </cfRule>
  </conditionalFormatting>
  <conditionalFormatting sqref="B59:B61">
    <cfRule type="cellIs" dxfId="98" priority="35" operator="equal">
      <formula>"VOID"</formula>
    </cfRule>
    <cfRule type="cellIs" dxfId="97" priority="36" operator="equal">
      <formula>"NO SALE"</formula>
    </cfRule>
  </conditionalFormatting>
  <conditionalFormatting sqref="B16:B18">
    <cfRule type="cellIs" dxfId="96" priority="23" operator="equal">
      <formula>"VOID"</formula>
    </cfRule>
    <cfRule type="cellIs" dxfId="95" priority="24" operator="equal">
      <formula>"NO SALE"</formula>
    </cfRule>
  </conditionalFormatting>
  <conditionalFormatting sqref="B74">
    <cfRule type="cellIs" dxfId="94" priority="21" operator="equal">
      <formula>"VOID"</formula>
    </cfRule>
    <cfRule type="cellIs" dxfId="93" priority="22" operator="equal">
      <formula>"NO SALE"</formula>
    </cfRule>
  </conditionalFormatting>
  <conditionalFormatting sqref="B221">
    <cfRule type="cellIs" dxfId="92" priority="19" operator="equal">
      <formula>"VOID"</formula>
    </cfRule>
    <cfRule type="cellIs" dxfId="91" priority="20" operator="equal">
      <formula>"NO SALE"</formula>
    </cfRule>
  </conditionalFormatting>
  <conditionalFormatting sqref="B129">
    <cfRule type="cellIs" dxfId="90" priority="15" operator="equal">
      <formula>"VOID"</formula>
    </cfRule>
    <cfRule type="cellIs" dxfId="89" priority="16" operator="equal">
      <formula>"NO SALE"</formula>
    </cfRule>
  </conditionalFormatting>
  <conditionalFormatting sqref="B138">
    <cfRule type="cellIs" dxfId="88" priority="13" operator="equal">
      <formula>"VOID"</formula>
    </cfRule>
    <cfRule type="cellIs" dxfId="87" priority="14" operator="equal">
      <formula>"NO SALE"</formula>
    </cfRule>
  </conditionalFormatting>
  <conditionalFormatting sqref="B37:B40">
    <cfRule type="cellIs" dxfId="86" priority="11" operator="equal">
      <formula>"VOID"</formula>
    </cfRule>
    <cfRule type="cellIs" dxfId="85" priority="12" operator="equal">
      <formula>"NO SALE"</formula>
    </cfRule>
  </conditionalFormatting>
  <conditionalFormatting sqref="B265">
    <cfRule type="cellIs" dxfId="84" priority="9" operator="equal">
      <formula>"VOID"</formula>
    </cfRule>
    <cfRule type="cellIs" dxfId="83" priority="10" operator="equal">
      <formula>"NO SALE"</formula>
    </cfRule>
  </conditionalFormatting>
  <conditionalFormatting sqref="B269">
    <cfRule type="cellIs" dxfId="82" priority="7" operator="equal">
      <formula>"VOID"</formula>
    </cfRule>
    <cfRule type="cellIs" dxfId="81" priority="8" operator="equal">
      <formula>"NO SALE"</formula>
    </cfRule>
  </conditionalFormatting>
  <conditionalFormatting sqref="B71">
    <cfRule type="cellIs" dxfId="80" priority="3" operator="equal">
      <formula>"VOID"</formula>
    </cfRule>
    <cfRule type="cellIs" dxfId="79" priority="4" operator="equal">
      <formula>"NO SALE"</formula>
    </cfRule>
  </conditionalFormatting>
  <conditionalFormatting sqref="B191">
    <cfRule type="cellIs" dxfId="1" priority="1" operator="equal">
      <formula>"FOC"</formula>
    </cfRule>
    <cfRule type="cellIs" dxfId="0" priority="2" operator="equal">
      <formula>"NO REPAIR"</formula>
    </cfRule>
  </conditionalFormatting>
  <printOptions horizontalCentered="1"/>
  <pageMargins left="0" right="0" top="0" bottom="0" header="0" footer="0"/>
  <pageSetup paperSize="9" scale="10" firstPageNumber="0" orientation="landscape" useFirstPageNumber="1" horizontalDpi="300" verticalDpi="300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Data!$A:$A</xm:f>
          </x14:formula1>
          <xm:sqref>F18 F209:F1048576 F4:F16 F20:F43 F45:F46 F48:F53 F55:F60 F62:F68 F70:F72 F74:F84 F86:F88 F90:F99 F102:F103 F105:F113 F115:F131 F133:F148 F150:F177 F192 F200:F207 F194:F198 F179:F190</xm:sqref>
        </x14:dataValidation>
        <x14:dataValidation type="list" allowBlank="1" showInputMessage="1" showErrorMessage="1">
          <x14:formula1>
            <xm:f>Data!$D$1:$D$7</xm:f>
          </x14:formula1>
          <xm:sqref>K318:K319 K266:K316 K30:K43 K45:K60 K62:K88 K105:K113 K98:K99 K102:K103 K90:K96 M144 K155:L155 K115:K121 K123:K138 K140:K154 K194:K195 K197:K198 K200:K217 K225:K227 K263:K264 K1048549:K1048576 K260:K261 K219:K223 K231:K232 K235:K237 K241 K244:K245 K248 K251 K254 K257 K7:K28 K156:K165 K167:K192</xm:sqref>
        </x14:dataValidation>
        <x14:dataValidation type="list" allowBlank="1" showInputMessage="1" showErrorMessage="1">
          <x14:formula1>
            <xm:f>'C:\Users\Bvlgari-PI\Desktop\[DAILY SALES REPORT BVLGARI PLAZA INDONESIA MARCH 2026.xlsx]Data'!#REF!</xm:f>
          </x14:formula1>
          <xm:sqref>K258:K259 F19 F149 K29 K255:K256 K265 K252:K253 K249:K250 F208 K218 F17 F44 F47 K44 K262 F54 K246:K247 K199 K233:K234 K61 F132 F199 F69 F61 F73 K196 F85 F89 K193 K89 F193 K97 F100:F101 F104 K242:K243 K104 K238:K240 F178 K228:K230 F114 K114 F191 K139 K317 K224 K122 K100:K101 K166</xm:sqref>
        </x14:dataValidation>
        <x14:dataValidation type="list" allowBlank="1" showInputMessage="1" showErrorMessage="1">
          <x14:formula1>
            <xm:f>'Sales Support'!$F$2:$F$4</xm:f>
          </x14:formula1>
          <xm:sqref>AI1:AI1048576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L1048566"/>
  <sheetViews>
    <sheetView zoomScale="80" zoomScaleNormal="80" workbookViewId="0">
      <pane xSplit="5" ySplit="6" topLeftCell="W52" activePane="bottomRight" state="frozen"/>
      <selection activeCell="Y52" sqref="Y52"/>
      <selection pane="topRight" activeCell="Y52" sqref="Y52"/>
      <selection pane="bottomLeft" activeCell="Y52" sqref="Y52"/>
      <selection pane="bottomRight" activeCell="B74" sqref="B74"/>
    </sheetView>
  </sheetViews>
  <sheetFormatPr defaultColWidth="8.5" defaultRowHeight="15"/>
  <cols>
    <col min="1" max="1" width="16.25" style="36" customWidth="1"/>
    <col min="2" max="2" width="14.875" style="346" bestFit="1" customWidth="1"/>
    <col min="3" max="3" width="18.375" style="346" bestFit="1" customWidth="1"/>
    <col min="4" max="4" width="22.375" style="346" customWidth="1"/>
    <col min="5" max="5" width="30.125" style="102" bestFit="1" customWidth="1"/>
    <col min="6" max="6" width="16.5" style="102" bestFit="1" customWidth="1"/>
    <col min="7" max="7" width="23" style="346" bestFit="1" customWidth="1"/>
    <col min="8" max="8" width="5.625" style="36" bestFit="1" customWidth="1"/>
    <col min="9" max="9" width="6.75" style="36" customWidth="1"/>
    <col min="10" max="10" width="6.75" style="346" customWidth="1"/>
    <col min="11" max="11" width="6.75" style="36" customWidth="1"/>
    <col min="12" max="12" width="11.625" style="102" bestFit="1" customWidth="1"/>
    <col min="13" max="13" width="11.625" style="346" bestFit="1" customWidth="1"/>
    <col min="14" max="14" width="22.125" style="346" customWidth="1"/>
    <col min="15" max="15" width="14.75" style="346" customWidth="1"/>
    <col min="16" max="16" width="53.625" style="102" customWidth="1"/>
    <col min="17" max="17" width="4.25" style="346" customWidth="1"/>
    <col min="18" max="18" width="12.75" style="355" bestFit="1" customWidth="1"/>
    <col min="19" max="19" width="9.875" style="36" bestFit="1" customWidth="1"/>
    <col min="20" max="20" width="13.25" style="356" bestFit="1" customWidth="1"/>
    <col min="21" max="21" width="19.125" style="423" customWidth="1"/>
    <col min="22" max="22" width="16" style="36" bestFit="1" customWidth="1"/>
    <col min="23" max="23" width="16" style="364" bestFit="1" customWidth="1"/>
    <col min="24" max="24" width="13.75" style="36" customWidth="1"/>
    <col min="25" max="25" width="20.25" style="36" customWidth="1"/>
    <col min="26" max="26" width="12.75" style="36" customWidth="1"/>
    <col min="27" max="27" width="17.875" style="36" customWidth="1"/>
    <col min="28" max="28" width="19.5" style="359" customWidth="1"/>
    <col min="29" max="29" width="21.75" style="359" customWidth="1"/>
    <col min="30" max="30" width="24.75" style="352" customWidth="1"/>
    <col min="31" max="31" width="13.5" style="353" customWidth="1"/>
    <col min="32" max="32" width="15.375" style="343" customWidth="1"/>
    <col min="33" max="33" width="14.25" style="351" bestFit="1" customWidth="1"/>
    <col min="34" max="34" width="21.375" style="36" bestFit="1" customWidth="1"/>
    <col min="35" max="35" width="6.125" style="36" bestFit="1" customWidth="1"/>
    <col min="36" max="36" width="25" style="36" bestFit="1" customWidth="1"/>
    <col min="37" max="37" width="35.25" style="36" customWidth="1"/>
    <col min="38" max="16384" width="8.5" style="354"/>
  </cols>
  <sheetData>
    <row r="1" spans="1:38">
      <c r="A1" s="347" t="str">
        <f>DS!A1</f>
        <v>BVLGARI – Plaza Indonesia</v>
      </c>
      <c r="B1" s="37"/>
      <c r="C1" s="37"/>
      <c r="D1" s="348"/>
      <c r="E1" s="73"/>
      <c r="F1" s="73"/>
      <c r="G1" s="348"/>
      <c r="H1" s="351"/>
      <c r="I1" s="351"/>
      <c r="L1" s="73"/>
      <c r="M1" s="37"/>
      <c r="N1" s="72"/>
      <c r="O1" s="72"/>
      <c r="P1" s="73"/>
      <c r="Q1" s="37"/>
      <c r="R1" s="347"/>
      <c r="S1" s="349"/>
      <c r="T1" s="350"/>
      <c r="U1" s="422"/>
      <c r="V1" s="347"/>
      <c r="W1" s="350"/>
      <c r="X1" s="351"/>
      <c r="Y1" s="351"/>
      <c r="Z1" s="347"/>
      <c r="AA1" s="347"/>
      <c r="AB1" s="352"/>
      <c r="AC1" s="352"/>
      <c r="AF1" s="37"/>
    </row>
    <row r="2" spans="1:38">
      <c r="A2" s="347" t="s">
        <v>626</v>
      </c>
      <c r="B2" s="37"/>
      <c r="C2" s="37"/>
      <c r="E2" s="73"/>
      <c r="F2" s="73"/>
      <c r="L2" s="82"/>
      <c r="M2" s="79"/>
      <c r="N2" s="80"/>
      <c r="O2" s="81"/>
      <c r="P2" s="82"/>
      <c r="V2" s="357"/>
      <c r="W2" s="358"/>
      <c r="Z2" s="357"/>
      <c r="AA2" s="357"/>
      <c r="AF2" s="88"/>
    </row>
    <row r="3" spans="1:38">
      <c r="A3" s="345" t="s">
        <v>611</v>
      </c>
      <c r="B3" s="361">
        <f>DS!B3</f>
        <v>46266</v>
      </c>
      <c r="C3" s="361"/>
      <c r="D3" s="362"/>
      <c r="E3" s="424"/>
      <c r="F3" s="424"/>
      <c r="G3" s="47"/>
      <c r="L3" s="344"/>
      <c r="M3" s="343"/>
      <c r="N3" s="92"/>
      <c r="O3" s="93"/>
      <c r="P3" s="344"/>
      <c r="S3" s="363"/>
      <c r="V3" s="357"/>
      <c r="W3" s="358"/>
      <c r="Z3" s="364"/>
      <c r="AA3" s="364"/>
      <c r="AB3" s="365"/>
      <c r="AC3" s="365"/>
      <c r="AD3" s="366"/>
      <c r="AE3" s="367"/>
      <c r="AG3" s="368"/>
    </row>
    <row r="4" spans="1:38">
      <c r="A4" s="349"/>
      <c r="B4" s="348"/>
      <c r="C4" s="348"/>
      <c r="D4" s="369"/>
      <c r="E4" s="344"/>
      <c r="F4" s="638"/>
      <c r="G4" s="369"/>
      <c r="M4" s="343"/>
      <c r="N4" s="101"/>
      <c r="O4" s="101"/>
      <c r="R4" s="370"/>
      <c r="S4" s="363"/>
      <c r="T4" s="371"/>
      <c r="U4" s="422"/>
      <c r="V4" s="360"/>
      <c r="W4" s="372"/>
      <c r="X4" s="351"/>
      <c r="Y4" s="351"/>
      <c r="Z4" s="364"/>
      <c r="AA4" s="364"/>
      <c r="AB4" s="365"/>
      <c r="AC4" s="365"/>
      <c r="AD4" s="366"/>
      <c r="AE4" s="367"/>
      <c r="AG4" s="368"/>
    </row>
    <row r="5" spans="1:38" ht="15" customHeight="1">
      <c r="A5" s="921" t="s">
        <v>1</v>
      </c>
      <c r="B5" s="947" t="s">
        <v>2</v>
      </c>
      <c r="C5" s="949" t="s">
        <v>628</v>
      </c>
      <c r="D5" s="935" t="s">
        <v>620</v>
      </c>
      <c r="E5" s="923" t="s">
        <v>3</v>
      </c>
      <c r="F5" s="944" t="s">
        <v>794</v>
      </c>
      <c r="G5" s="935" t="s">
        <v>17</v>
      </c>
      <c r="H5" s="935" t="s">
        <v>4</v>
      </c>
      <c r="I5" s="935" t="s">
        <v>5</v>
      </c>
      <c r="J5" s="935" t="s">
        <v>621</v>
      </c>
      <c r="K5" s="935" t="s">
        <v>622</v>
      </c>
      <c r="L5" s="935" t="s">
        <v>614</v>
      </c>
      <c r="M5" s="925" t="s">
        <v>6</v>
      </c>
      <c r="N5" s="921" t="s">
        <v>613</v>
      </c>
      <c r="O5" s="921" t="s">
        <v>612</v>
      </c>
      <c r="P5" s="923" t="s">
        <v>7</v>
      </c>
      <c r="Q5" s="925" t="s">
        <v>8</v>
      </c>
      <c r="R5" s="927" t="s">
        <v>9</v>
      </c>
      <c r="S5" s="945" t="s">
        <v>10</v>
      </c>
      <c r="T5" s="931" t="s">
        <v>11</v>
      </c>
      <c r="U5" s="950" t="s">
        <v>12</v>
      </c>
      <c r="V5" s="934"/>
      <c r="W5" s="934"/>
      <c r="X5" s="934"/>
      <c r="Y5" s="934"/>
      <c r="Z5" s="934"/>
      <c r="AA5" s="934"/>
      <c r="AB5" s="934"/>
      <c r="AC5" s="919" t="s">
        <v>44</v>
      </c>
      <c r="AD5" s="917" t="s">
        <v>617</v>
      </c>
      <c r="AE5" s="938" t="s">
        <v>618</v>
      </c>
      <c r="AF5" s="935" t="s">
        <v>610</v>
      </c>
      <c r="AG5" s="940" t="s">
        <v>619</v>
      </c>
      <c r="AH5" s="935" t="s">
        <v>627</v>
      </c>
      <c r="AI5" s="937" t="s">
        <v>752</v>
      </c>
      <c r="AJ5" s="937" t="s">
        <v>625</v>
      </c>
      <c r="AK5" s="937" t="s">
        <v>623</v>
      </c>
    </row>
    <row r="6" spans="1:38">
      <c r="A6" s="922"/>
      <c r="B6" s="948"/>
      <c r="C6" s="949"/>
      <c r="D6" s="936"/>
      <c r="E6" s="924"/>
      <c r="F6" s="944"/>
      <c r="G6" s="936"/>
      <c r="H6" s="936"/>
      <c r="I6" s="936"/>
      <c r="J6" s="936"/>
      <c r="K6" s="936"/>
      <c r="L6" s="936"/>
      <c r="M6" s="926"/>
      <c r="N6" s="922"/>
      <c r="O6" s="922"/>
      <c r="P6" s="924"/>
      <c r="Q6" s="926"/>
      <c r="R6" s="928"/>
      <c r="S6" s="946"/>
      <c r="T6" s="932"/>
      <c r="U6" s="313" t="s">
        <v>624</v>
      </c>
      <c r="V6" s="158" t="s">
        <v>18</v>
      </c>
      <c r="W6" s="156" t="s">
        <v>19</v>
      </c>
      <c r="X6" s="158" t="s">
        <v>13</v>
      </c>
      <c r="Y6" s="158" t="s">
        <v>615</v>
      </c>
      <c r="Z6" s="158" t="s">
        <v>14</v>
      </c>
      <c r="AA6" s="158" t="s">
        <v>616</v>
      </c>
      <c r="AB6" s="159" t="s">
        <v>15</v>
      </c>
      <c r="AC6" s="920"/>
      <c r="AD6" s="918"/>
      <c r="AE6" s="939"/>
      <c r="AF6" s="936"/>
      <c r="AG6" s="941"/>
      <c r="AH6" s="936"/>
      <c r="AI6" s="936"/>
      <c r="AJ6" s="936"/>
      <c r="AK6" s="936"/>
    </row>
    <row r="7" spans="1:38" s="36" customFormat="1">
      <c r="A7" s="718">
        <v>46266</v>
      </c>
      <c r="B7" s="269" t="s">
        <v>800</v>
      </c>
      <c r="C7" s="270"/>
      <c r="D7" s="270"/>
      <c r="E7" s="290"/>
      <c r="F7" s="667"/>
      <c r="G7" s="270"/>
      <c r="H7" s="270"/>
      <c r="I7" s="270"/>
      <c r="J7" s="270"/>
      <c r="K7" s="270"/>
      <c r="L7" s="270"/>
      <c r="M7" s="270"/>
      <c r="N7" s="269"/>
      <c r="O7" s="270"/>
      <c r="P7" s="557"/>
      <c r="Q7" s="270"/>
      <c r="R7" s="340"/>
      <c r="S7" s="238" t="e">
        <f t="shared" ref="S7:S14" si="0">(R7-T7)/R7*100</f>
        <v>#DIV/0!</v>
      </c>
      <c r="T7" s="340"/>
      <c r="U7" s="425"/>
      <c r="V7" s="340"/>
      <c r="W7" s="292"/>
      <c r="X7" s="270"/>
      <c r="Y7" s="270"/>
      <c r="Z7" s="270"/>
      <c r="AA7" s="270"/>
      <c r="AB7" s="247">
        <f t="shared" ref="AB7:AB9" si="1">W7*1.4%</f>
        <v>0</v>
      </c>
      <c r="AC7" s="247">
        <f t="shared" ref="AC7:AC9" si="2">(T7/1.11)</f>
        <v>0</v>
      </c>
      <c r="AD7" s="279">
        <f>SUM(AC7)</f>
        <v>0</v>
      </c>
      <c r="AE7" s="280"/>
      <c r="AF7" s="270"/>
      <c r="AG7" s="270"/>
      <c r="AH7" s="373"/>
      <c r="AI7" s="293"/>
      <c r="AJ7" s="270"/>
      <c r="AK7" s="270"/>
      <c r="AL7" s="378"/>
    </row>
    <row r="8" spans="1:38" s="36" customFormat="1">
      <c r="A8" s="718">
        <v>46267</v>
      </c>
      <c r="B8" s="270" t="s">
        <v>801</v>
      </c>
      <c r="C8" s="270"/>
      <c r="D8" s="270" t="s">
        <v>802</v>
      </c>
      <c r="E8" s="290" t="s">
        <v>803</v>
      </c>
      <c r="F8" s="662">
        <v>13669871</v>
      </c>
      <c r="G8" s="270" t="s">
        <v>302</v>
      </c>
      <c r="H8" s="270"/>
      <c r="I8" s="270"/>
      <c r="J8" s="270"/>
      <c r="K8" s="270"/>
      <c r="L8" s="270"/>
      <c r="M8" s="270"/>
      <c r="N8" s="269" t="s">
        <v>804</v>
      </c>
      <c r="O8" s="270"/>
      <c r="P8" s="557" t="s">
        <v>805</v>
      </c>
      <c r="Q8" s="270"/>
      <c r="R8" s="292"/>
      <c r="S8" s="238" t="e">
        <f t="shared" si="0"/>
        <v>#DIV/0!</v>
      </c>
      <c r="T8" s="292"/>
      <c r="U8" s="425"/>
      <c r="V8" s="340">
        <v>1200000</v>
      </c>
      <c r="W8" s="292"/>
      <c r="X8" s="270"/>
      <c r="Y8" s="270" t="s">
        <v>806</v>
      </c>
      <c r="Z8" s="270"/>
      <c r="AA8" s="270"/>
      <c r="AB8" s="247">
        <f>W8*1.3%</f>
        <v>0</v>
      </c>
      <c r="AC8" s="247">
        <f t="shared" si="2"/>
        <v>0</v>
      </c>
      <c r="AD8" s="279"/>
      <c r="AE8" s="280" t="s">
        <v>778</v>
      </c>
      <c r="AF8" s="270" t="s">
        <v>778</v>
      </c>
      <c r="AG8" s="270"/>
      <c r="AH8" s="373"/>
      <c r="AI8" s="293"/>
      <c r="AJ8" s="270"/>
      <c r="AK8" s="270"/>
      <c r="AL8" s="378"/>
    </row>
    <row r="9" spans="1:38" s="36" customFormat="1">
      <c r="A9" s="661"/>
      <c r="B9" s="270" t="s">
        <v>807</v>
      </c>
      <c r="C9" s="270"/>
      <c r="D9" s="270" t="s">
        <v>809</v>
      </c>
      <c r="E9" s="290" t="s">
        <v>808</v>
      </c>
      <c r="F9" s="662">
        <v>13669875</v>
      </c>
      <c r="G9" s="270" t="s">
        <v>302</v>
      </c>
      <c r="H9" s="270"/>
      <c r="I9" s="270"/>
      <c r="J9" s="270"/>
      <c r="K9" s="270"/>
      <c r="L9" s="270"/>
      <c r="M9" s="270"/>
      <c r="N9" s="269" t="s">
        <v>804</v>
      </c>
      <c r="O9" s="270"/>
      <c r="P9" s="557" t="s">
        <v>810</v>
      </c>
      <c r="Q9" s="270"/>
      <c r="R9" s="292"/>
      <c r="S9" s="238" t="e">
        <f t="shared" si="0"/>
        <v>#DIV/0!</v>
      </c>
      <c r="T9" s="292"/>
      <c r="U9" s="425"/>
      <c r="V9" s="292">
        <v>2400000</v>
      </c>
      <c r="W9" s="292"/>
      <c r="X9" s="270"/>
      <c r="Y9" s="270" t="s">
        <v>806</v>
      </c>
      <c r="Z9" s="270"/>
      <c r="AA9" s="270"/>
      <c r="AB9" s="247">
        <f t="shared" si="1"/>
        <v>0</v>
      </c>
      <c r="AC9" s="247">
        <f t="shared" si="2"/>
        <v>0</v>
      </c>
      <c r="AD9" s="279"/>
      <c r="AE9" s="280" t="s">
        <v>775</v>
      </c>
      <c r="AF9" s="270" t="s">
        <v>775</v>
      </c>
      <c r="AG9" s="270"/>
      <c r="AH9" s="373"/>
      <c r="AI9" s="293"/>
      <c r="AJ9" s="270"/>
      <c r="AK9" s="270"/>
      <c r="AL9" s="378"/>
    </row>
    <row r="10" spans="1:38" s="36" customFormat="1">
      <c r="A10" s="718"/>
      <c r="B10" s="270" t="s">
        <v>813</v>
      </c>
      <c r="C10" s="270">
        <v>8094609</v>
      </c>
      <c r="D10" s="270" t="s">
        <v>814</v>
      </c>
      <c r="E10" s="290" t="s">
        <v>815</v>
      </c>
      <c r="F10" s="662">
        <v>13654905</v>
      </c>
      <c r="G10" s="270" t="s">
        <v>302</v>
      </c>
      <c r="H10" s="270"/>
      <c r="I10" s="270">
        <v>1</v>
      </c>
      <c r="J10" s="270"/>
      <c r="K10" s="270">
        <v>1</v>
      </c>
      <c r="L10" s="270" t="s">
        <v>92</v>
      </c>
      <c r="M10" s="270">
        <v>0</v>
      </c>
      <c r="N10" s="270" t="s">
        <v>816</v>
      </c>
      <c r="O10" s="270" t="s">
        <v>817</v>
      </c>
      <c r="P10" s="290" t="s">
        <v>818</v>
      </c>
      <c r="Q10" s="270">
        <v>1</v>
      </c>
      <c r="R10" s="292">
        <v>7300000</v>
      </c>
      <c r="S10" s="238">
        <f t="shared" ref="S10" si="3">(R10-T10)/R10*100</f>
        <v>0</v>
      </c>
      <c r="T10" s="292">
        <v>7300000</v>
      </c>
      <c r="U10" s="425" t="s">
        <v>812</v>
      </c>
      <c r="V10" s="292"/>
      <c r="W10" s="292">
        <v>3650000</v>
      </c>
      <c r="X10" s="270"/>
      <c r="Y10" s="270"/>
      <c r="Z10" s="270" t="s">
        <v>806</v>
      </c>
      <c r="AA10" s="270" t="s">
        <v>811</v>
      </c>
      <c r="AB10" s="247">
        <f>W10*1.3%</f>
        <v>47450.000000000007</v>
      </c>
      <c r="AC10" s="247">
        <f t="shared" ref="AC10" si="4">(T10/1.11)</f>
        <v>6576576.5765765756</v>
      </c>
      <c r="AD10" s="279"/>
      <c r="AE10" s="280" t="s">
        <v>778</v>
      </c>
      <c r="AF10" s="270" t="s">
        <v>778</v>
      </c>
      <c r="AG10" s="270" t="s">
        <v>778</v>
      </c>
      <c r="AH10" s="270">
        <v>806855</v>
      </c>
      <c r="AI10" s="293"/>
      <c r="AJ10" s="270"/>
      <c r="AK10" s="270" t="s">
        <v>819</v>
      </c>
      <c r="AL10" s="378"/>
    </row>
    <row r="11" spans="1:38" s="36" customFormat="1">
      <c r="A11" s="718"/>
      <c r="B11" s="269"/>
      <c r="C11" s="270"/>
      <c r="D11" s="270"/>
      <c r="E11" s="290"/>
      <c r="F11" s="662"/>
      <c r="G11" s="270"/>
      <c r="H11" s="270"/>
      <c r="I11" s="270"/>
      <c r="J11" s="270"/>
      <c r="K11" s="270"/>
      <c r="L11" s="270"/>
      <c r="M11" s="270"/>
      <c r="N11" s="270"/>
      <c r="O11" s="270"/>
      <c r="P11" s="290"/>
      <c r="Q11" s="270"/>
      <c r="R11" s="292"/>
      <c r="S11" s="238" t="e">
        <f t="shared" si="0"/>
        <v>#DIV/0!</v>
      </c>
      <c r="T11" s="292"/>
      <c r="U11" s="425"/>
      <c r="V11" s="292"/>
      <c r="W11" s="292"/>
      <c r="X11" s="270"/>
      <c r="Y11" s="270"/>
      <c r="Z11" s="270"/>
      <c r="AA11" s="270"/>
      <c r="AB11" s="247">
        <f t="shared" ref="AB11:AB17" si="5">W11*1.4%</f>
        <v>0</v>
      </c>
      <c r="AC11" s="247">
        <f t="shared" ref="AC11:AC17" si="6">(T11/1.11)</f>
        <v>0</v>
      </c>
      <c r="AD11" s="279"/>
      <c r="AE11" s="280"/>
      <c r="AF11" s="270"/>
      <c r="AG11" s="270"/>
      <c r="AH11" s="270">
        <v>807616</v>
      </c>
      <c r="AI11" s="293"/>
      <c r="AJ11" s="270"/>
      <c r="AK11" s="270"/>
      <c r="AL11" s="378"/>
    </row>
    <row r="12" spans="1:38" s="36" customFormat="1">
      <c r="A12" s="427"/>
      <c r="B12" s="270" t="s">
        <v>827</v>
      </c>
      <c r="C12" s="270">
        <v>8094614</v>
      </c>
      <c r="D12" s="270" t="s">
        <v>828</v>
      </c>
      <c r="E12" s="290" t="s">
        <v>829</v>
      </c>
      <c r="F12" s="662">
        <v>13367243</v>
      </c>
      <c r="G12" s="270" t="s">
        <v>302</v>
      </c>
      <c r="H12" s="270"/>
      <c r="I12" s="270">
        <v>1</v>
      </c>
      <c r="J12" s="270"/>
      <c r="K12" s="270">
        <v>1</v>
      </c>
      <c r="L12" s="270" t="s">
        <v>89</v>
      </c>
      <c r="M12" s="270">
        <v>344492</v>
      </c>
      <c r="N12" s="270" t="s">
        <v>831</v>
      </c>
      <c r="O12" s="270" t="s">
        <v>830</v>
      </c>
      <c r="P12" s="290" t="s">
        <v>832</v>
      </c>
      <c r="Q12" s="270">
        <v>1</v>
      </c>
      <c r="R12" s="292">
        <v>6200000</v>
      </c>
      <c r="S12" s="238">
        <f t="shared" si="0"/>
        <v>0</v>
      </c>
      <c r="T12" s="292">
        <v>6200000</v>
      </c>
      <c r="U12" s="425" t="s">
        <v>833</v>
      </c>
      <c r="V12" s="292"/>
      <c r="W12" s="292"/>
      <c r="X12" s="270"/>
      <c r="Y12" s="270"/>
      <c r="Z12" s="270"/>
      <c r="AA12" s="270"/>
      <c r="AB12" s="247">
        <f t="shared" si="5"/>
        <v>0</v>
      </c>
      <c r="AC12" s="247">
        <f t="shared" si="6"/>
        <v>5585585.5855855849</v>
      </c>
      <c r="AD12" s="279">
        <f>SUM(AC8:AC12)</f>
        <v>12162162.162162161</v>
      </c>
      <c r="AE12" s="280" t="s">
        <v>769</v>
      </c>
      <c r="AF12" s="270" t="s">
        <v>769</v>
      </c>
      <c r="AG12" s="270" t="s">
        <v>769</v>
      </c>
      <c r="AH12" s="373"/>
      <c r="AI12" s="293"/>
      <c r="AJ12" s="270"/>
      <c r="AK12" s="270"/>
      <c r="AL12" s="378"/>
    </row>
    <row r="13" spans="1:38" s="36" customFormat="1">
      <c r="A13" s="718">
        <v>46268</v>
      </c>
      <c r="B13" s="270" t="s">
        <v>876</v>
      </c>
      <c r="C13" s="270"/>
      <c r="D13" s="270" t="s">
        <v>858</v>
      </c>
      <c r="E13" s="290" t="s">
        <v>859</v>
      </c>
      <c r="F13" s="662">
        <v>13447191</v>
      </c>
      <c r="G13" s="270" t="s">
        <v>302</v>
      </c>
      <c r="H13" s="270"/>
      <c r="I13" s="270">
        <v>1</v>
      </c>
      <c r="J13" s="270"/>
      <c r="K13" s="270">
        <v>1</v>
      </c>
      <c r="L13" s="270" t="s">
        <v>101</v>
      </c>
      <c r="M13" s="270">
        <v>100189572</v>
      </c>
      <c r="N13" s="270">
        <v>100189572</v>
      </c>
      <c r="O13" s="270">
        <v>100189572</v>
      </c>
      <c r="P13" s="291" t="s">
        <v>860</v>
      </c>
      <c r="Q13" s="270">
        <v>1</v>
      </c>
      <c r="R13" s="292">
        <v>5800000</v>
      </c>
      <c r="S13" s="238">
        <f t="shared" si="0"/>
        <v>0</v>
      </c>
      <c r="T13" s="292">
        <f>R13</f>
        <v>5800000</v>
      </c>
      <c r="U13" s="425" t="s">
        <v>861</v>
      </c>
      <c r="V13" s="340"/>
      <c r="W13" s="340"/>
      <c r="X13" s="270"/>
      <c r="Y13" s="270"/>
      <c r="Z13" s="270"/>
      <c r="AA13" s="270"/>
      <c r="AB13" s="247">
        <f>W13*2.2%</f>
        <v>0</v>
      </c>
      <c r="AC13" s="247">
        <f t="shared" si="6"/>
        <v>5225225.2252252251</v>
      </c>
      <c r="AD13" s="279"/>
      <c r="AE13" s="280" t="s">
        <v>778</v>
      </c>
      <c r="AF13" s="270" t="s">
        <v>778</v>
      </c>
      <c r="AG13" s="270" t="s">
        <v>778</v>
      </c>
      <c r="AH13" s="270">
        <v>807617</v>
      </c>
      <c r="AI13" s="293"/>
      <c r="AJ13" s="270"/>
      <c r="AK13" s="270" t="s">
        <v>862</v>
      </c>
      <c r="AL13" s="378"/>
    </row>
    <row r="14" spans="1:38" s="36" customFormat="1">
      <c r="A14" s="294"/>
      <c r="B14" s="270"/>
      <c r="C14" s="270"/>
      <c r="D14" s="270"/>
      <c r="E14" s="290"/>
      <c r="F14" s="667"/>
      <c r="G14" s="270"/>
      <c r="H14" s="270"/>
      <c r="I14" s="270"/>
      <c r="J14" s="270"/>
      <c r="K14" s="270"/>
      <c r="L14" s="270"/>
      <c r="M14" s="270"/>
      <c r="N14" s="270"/>
      <c r="O14" s="270"/>
      <c r="P14" s="290"/>
      <c r="Q14" s="270"/>
      <c r="R14" s="292"/>
      <c r="S14" s="238" t="e">
        <f t="shared" si="0"/>
        <v>#DIV/0!</v>
      </c>
      <c r="T14" s="292"/>
      <c r="U14" s="425"/>
      <c r="V14" s="340"/>
      <c r="W14" s="292"/>
      <c r="X14" s="270"/>
      <c r="Y14" s="270"/>
      <c r="Z14" s="270"/>
      <c r="AA14" s="270"/>
      <c r="AB14" s="247">
        <f>W14*1.5%</f>
        <v>0</v>
      </c>
      <c r="AC14" s="247">
        <f t="shared" ref="AC14" si="7">(T14/1.11)</f>
        <v>0</v>
      </c>
      <c r="AD14" s="279"/>
      <c r="AE14" s="280"/>
      <c r="AF14" s="270"/>
      <c r="AG14" s="270"/>
      <c r="AH14" s="373">
        <v>807616</v>
      </c>
      <c r="AI14" s="293"/>
      <c r="AJ14" s="270"/>
      <c r="AK14" s="270"/>
      <c r="AL14" s="378"/>
    </row>
    <row r="15" spans="1:38" s="36" customFormat="1">
      <c r="A15" s="362"/>
      <c r="B15" s="270"/>
      <c r="C15" s="270"/>
      <c r="D15" s="270"/>
      <c r="E15" s="290"/>
      <c r="F15" s="667"/>
      <c r="G15" s="270"/>
      <c r="H15" s="270"/>
      <c r="I15" s="270"/>
      <c r="J15" s="270"/>
      <c r="K15" s="270"/>
      <c r="L15" s="270"/>
      <c r="M15" s="270"/>
      <c r="N15" s="270"/>
      <c r="O15" s="270"/>
      <c r="P15" s="290"/>
      <c r="Q15" s="270"/>
      <c r="R15" s="292"/>
      <c r="S15" s="238" t="e">
        <f t="shared" ref="S15" si="8">(R15-T15)/R15*100</f>
        <v>#DIV/0!</v>
      </c>
      <c r="T15" s="292"/>
      <c r="U15" s="425"/>
      <c r="V15" s="340"/>
      <c r="W15" s="292"/>
      <c r="X15" s="270"/>
      <c r="Y15" s="270"/>
      <c r="Z15" s="270"/>
      <c r="AA15" s="270"/>
      <c r="AB15" s="247">
        <f t="shared" ref="AB15" si="9">W15*1.4%</f>
        <v>0</v>
      </c>
      <c r="AC15" s="247">
        <f t="shared" ref="AC15" si="10">(T15/1.11)</f>
        <v>0</v>
      </c>
      <c r="AD15" s="279">
        <f>SUM(AC13:AC15)</f>
        <v>5225225.2252252251</v>
      </c>
      <c r="AE15" s="280"/>
      <c r="AF15" s="270"/>
      <c r="AG15" s="270"/>
      <c r="AH15" s="270">
        <v>806855</v>
      </c>
      <c r="AI15" s="293"/>
      <c r="AJ15" s="270"/>
      <c r="AK15" s="270"/>
      <c r="AL15" s="378"/>
    </row>
    <row r="16" spans="1:38" s="36" customFormat="1">
      <c r="A16" s="718">
        <v>46269</v>
      </c>
      <c r="B16" s="269" t="s">
        <v>800</v>
      </c>
      <c r="C16" s="270"/>
      <c r="D16" s="270"/>
      <c r="E16" s="290"/>
      <c r="F16" s="667"/>
      <c r="G16" s="270"/>
      <c r="H16" s="270"/>
      <c r="I16" s="270"/>
      <c r="J16" s="270"/>
      <c r="K16" s="270"/>
      <c r="L16" s="270"/>
      <c r="M16" s="295"/>
      <c r="N16" s="270"/>
      <c r="O16" s="270"/>
      <c r="P16" s="291"/>
      <c r="Q16" s="270"/>
      <c r="R16" s="292"/>
      <c r="S16" s="238" t="e">
        <f t="shared" ref="S16:S29" si="11">(R16-T16)/R16*100</f>
        <v>#DIV/0!</v>
      </c>
      <c r="T16" s="292"/>
      <c r="U16" s="425"/>
      <c r="V16" s="340"/>
      <c r="W16" s="292"/>
      <c r="X16" s="270"/>
      <c r="Y16" s="270"/>
      <c r="Z16" s="270"/>
      <c r="AA16" s="270"/>
      <c r="AB16" s="247">
        <f t="shared" si="5"/>
        <v>0</v>
      </c>
      <c r="AC16" s="247">
        <f t="shared" si="6"/>
        <v>0</v>
      </c>
      <c r="AD16" s="279"/>
      <c r="AE16" s="280"/>
      <c r="AF16" s="270"/>
      <c r="AG16" s="270"/>
      <c r="AH16" s="373"/>
      <c r="AI16" s="293"/>
      <c r="AJ16" s="270"/>
      <c r="AK16" s="270"/>
      <c r="AL16" s="378"/>
    </row>
    <row r="17" spans="1:38" s="36" customFormat="1">
      <c r="A17" s="718">
        <v>46270</v>
      </c>
      <c r="B17" s="270" t="s">
        <v>900</v>
      </c>
      <c r="C17" s="270"/>
      <c r="D17" s="293" t="s">
        <v>901</v>
      </c>
      <c r="E17" s="290" t="s">
        <v>902</v>
      </c>
      <c r="F17" s="667">
        <v>13626668</v>
      </c>
      <c r="G17" s="270"/>
      <c r="H17" s="270"/>
      <c r="I17" s="270"/>
      <c r="J17" s="270"/>
      <c r="K17" s="270"/>
      <c r="L17" s="270"/>
      <c r="M17" s="270"/>
      <c r="N17" s="269" t="s">
        <v>804</v>
      </c>
      <c r="O17" s="270"/>
      <c r="P17" s="557" t="s">
        <v>903</v>
      </c>
      <c r="Q17" s="270"/>
      <c r="R17" s="292"/>
      <c r="S17" s="238" t="e">
        <f t="shared" si="11"/>
        <v>#DIV/0!</v>
      </c>
      <c r="T17" s="292"/>
      <c r="U17" s="425"/>
      <c r="V17" s="340">
        <v>1200000</v>
      </c>
      <c r="W17" s="292"/>
      <c r="X17" s="270"/>
      <c r="Y17" s="270" t="s">
        <v>806</v>
      </c>
      <c r="Z17" s="270"/>
      <c r="AA17" s="270"/>
      <c r="AB17" s="247">
        <f t="shared" si="5"/>
        <v>0</v>
      </c>
      <c r="AC17" s="247">
        <f t="shared" si="6"/>
        <v>0</v>
      </c>
      <c r="AD17" s="279"/>
      <c r="AE17" s="280" t="s">
        <v>781</v>
      </c>
      <c r="AF17" s="270" t="s">
        <v>781</v>
      </c>
      <c r="AG17" s="270"/>
      <c r="AH17" s="373"/>
      <c r="AI17" s="293"/>
      <c r="AJ17" s="270"/>
      <c r="AK17" s="270"/>
      <c r="AL17" s="378"/>
    </row>
    <row r="18" spans="1:38" s="36" customFormat="1">
      <c r="A18" s="718"/>
      <c r="B18" s="269" t="s">
        <v>899</v>
      </c>
      <c r="C18" s="270">
        <v>8094618</v>
      </c>
      <c r="D18" s="270" t="s">
        <v>904</v>
      </c>
      <c r="E18" s="290" t="s">
        <v>905</v>
      </c>
      <c r="F18" s="667">
        <v>13632600</v>
      </c>
      <c r="G18" s="270" t="s">
        <v>302</v>
      </c>
      <c r="H18" s="270"/>
      <c r="I18" s="270">
        <v>1</v>
      </c>
      <c r="J18" s="270"/>
      <c r="K18" s="270">
        <v>1</v>
      </c>
      <c r="L18" s="270" t="s">
        <v>89</v>
      </c>
      <c r="M18" s="270">
        <v>360338</v>
      </c>
      <c r="N18" s="269"/>
      <c r="O18" s="270" t="s">
        <v>907</v>
      </c>
      <c r="P18" s="290" t="s">
        <v>909</v>
      </c>
      <c r="Q18" s="270"/>
      <c r="R18" s="292"/>
      <c r="S18" s="238" t="e">
        <f t="shared" si="11"/>
        <v>#DIV/0!</v>
      </c>
      <c r="T18" s="292"/>
      <c r="U18" s="425"/>
      <c r="V18" s="292"/>
      <c r="W18" s="292"/>
      <c r="X18" s="270"/>
      <c r="Y18" s="270"/>
      <c r="Z18" s="270"/>
      <c r="AA18" s="270"/>
      <c r="AB18" s="247">
        <f>W18*0.15%</f>
        <v>0</v>
      </c>
      <c r="AC18" s="247">
        <f t="shared" ref="AC18:AC113" si="12">(T18/1.11)</f>
        <v>0</v>
      </c>
      <c r="AD18" s="279"/>
      <c r="AE18" s="280" t="s">
        <v>781</v>
      </c>
      <c r="AF18" s="270" t="s">
        <v>781</v>
      </c>
      <c r="AG18" s="270" t="s">
        <v>781</v>
      </c>
      <c r="AH18" s="373"/>
      <c r="AI18" s="293"/>
      <c r="AJ18" s="270"/>
      <c r="AK18" s="270"/>
      <c r="AL18" s="378"/>
    </row>
    <row r="19" spans="1:38" s="36" customFormat="1">
      <c r="A19" s="427"/>
      <c r="B19" s="269" t="s">
        <v>899</v>
      </c>
      <c r="C19" s="270">
        <v>8094619</v>
      </c>
      <c r="D19" s="270" t="s">
        <v>906</v>
      </c>
      <c r="E19" s="290" t="s">
        <v>905</v>
      </c>
      <c r="F19" s="667">
        <v>13632600</v>
      </c>
      <c r="G19" s="270" t="s">
        <v>302</v>
      </c>
      <c r="H19" s="270"/>
      <c r="I19" s="270">
        <v>1</v>
      </c>
      <c r="J19" s="270"/>
      <c r="K19" s="270">
        <v>1</v>
      </c>
      <c r="L19" s="270" t="s">
        <v>89</v>
      </c>
      <c r="M19" s="270">
        <v>360362</v>
      </c>
      <c r="N19" s="270"/>
      <c r="O19" s="270" t="s">
        <v>908</v>
      </c>
      <c r="P19" s="290" t="s">
        <v>909</v>
      </c>
      <c r="Q19" s="270"/>
      <c r="R19" s="292"/>
      <c r="S19" s="238" t="e">
        <f t="shared" si="11"/>
        <v>#DIV/0!</v>
      </c>
      <c r="T19" s="292"/>
      <c r="U19" s="425"/>
      <c r="V19" s="340"/>
      <c r="W19" s="292"/>
      <c r="X19" s="270"/>
      <c r="Y19" s="270"/>
      <c r="Z19" s="270"/>
      <c r="AA19" s="270"/>
      <c r="AB19" s="247">
        <f>W19*2.25%</f>
        <v>0</v>
      </c>
      <c r="AC19" s="247">
        <f t="shared" si="12"/>
        <v>0</v>
      </c>
      <c r="AD19" s="279"/>
      <c r="AE19" s="280" t="s">
        <v>781</v>
      </c>
      <c r="AF19" s="270" t="s">
        <v>781</v>
      </c>
      <c r="AG19" s="270" t="s">
        <v>781</v>
      </c>
      <c r="AH19" s="270"/>
      <c r="AI19" s="293"/>
      <c r="AJ19" s="270"/>
      <c r="AK19" s="270"/>
      <c r="AL19" s="378"/>
    </row>
    <row r="20" spans="1:38" s="36" customFormat="1">
      <c r="A20" s="362"/>
      <c r="B20" s="270"/>
      <c r="C20" s="270"/>
      <c r="D20" s="270"/>
      <c r="E20" s="290"/>
      <c r="F20" s="667"/>
      <c r="G20" s="270"/>
      <c r="H20" s="270"/>
      <c r="I20" s="270"/>
      <c r="J20" s="270"/>
      <c r="K20" s="270"/>
      <c r="L20" s="270"/>
      <c r="M20" s="269"/>
      <c r="N20" s="270"/>
      <c r="O20" s="270"/>
      <c r="P20" s="557"/>
      <c r="Q20" s="270"/>
      <c r="R20" s="292"/>
      <c r="S20" s="238" t="e">
        <f t="shared" ref="S20" si="13">(R20-T20)/R20*100</f>
        <v>#DIV/0!</v>
      </c>
      <c r="T20" s="292"/>
      <c r="U20" s="425"/>
      <c r="V20" s="340"/>
      <c r="W20" s="292"/>
      <c r="X20" s="270"/>
      <c r="Y20" s="270"/>
      <c r="Z20" s="270"/>
      <c r="AA20" s="270"/>
      <c r="AB20" s="247">
        <f>W20*2.25%</f>
        <v>0</v>
      </c>
      <c r="AC20" s="247">
        <f t="shared" ref="AC20" si="14">(T20/1.11)</f>
        <v>0</v>
      </c>
      <c r="AD20" s="279"/>
      <c r="AE20" s="280"/>
      <c r="AF20" s="270"/>
      <c r="AG20" s="270"/>
      <c r="AH20" s="270"/>
      <c r="AI20" s="293"/>
      <c r="AJ20" s="270"/>
      <c r="AK20" s="270"/>
      <c r="AL20" s="378"/>
    </row>
    <row r="21" spans="1:38" s="36" customFormat="1">
      <c r="A21" s="362"/>
      <c r="B21" s="270" t="s">
        <v>936</v>
      </c>
      <c r="C21" s="270">
        <v>8094576</v>
      </c>
      <c r="D21" s="270" t="s">
        <v>937</v>
      </c>
      <c r="E21" s="290" t="s">
        <v>938</v>
      </c>
      <c r="F21" s="667">
        <v>13521092</v>
      </c>
      <c r="G21" s="270" t="s">
        <v>302</v>
      </c>
      <c r="H21" s="270"/>
      <c r="I21" s="270">
        <v>1</v>
      </c>
      <c r="J21" s="270"/>
      <c r="K21" s="270">
        <v>1</v>
      </c>
      <c r="L21" s="270" t="s">
        <v>92</v>
      </c>
      <c r="M21" s="270">
        <v>101353</v>
      </c>
      <c r="N21" s="270" t="s">
        <v>939</v>
      </c>
      <c r="O21" s="270" t="s">
        <v>940</v>
      </c>
      <c r="P21" s="290" t="s">
        <v>818</v>
      </c>
      <c r="Q21" s="270">
        <v>1</v>
      </c>
      <c r="R21" s="292">
        <v>7300000</v>
      </c>
      <c r="S21" s="238">
        <f t="shared" si="11"/>
        <v>0</v>
      </c>
      <c r="T21" s="292">
        <f>R21</f>
        <v>7300000</v>
      </c>
      <c r="U21" s="425" t="s">
        <v>941</v>
      </c>
      <c r="V21" s="292"/>
      <c r="W21" s="292">
        <v>3650000</v>
      </c>
      <c r="X21" s="270"/>
      <c r="Y21" s="270"/>
      <c r="Z21" s="270" t="s">
        <v>806</v>
      </c>
      <c r="AA21" s="270" t="s">
        <v>942</v>
      </c>
      <c r="AB21" s="247">
        <f>W21*1.3%</f>
        <v>47450.000000000007</v>
      </c>
      <c r="AC21" s="247">
        <f t="shared" si="12"/>
        <v>6576576.5765765756</v>
      </c>
      <c r="AD21" s="279"/>
      <c r="AE21" s="280" t="s">
        <v>775</v>
      </c>
      <c r="AF21" s="270" t="s">
        <v>775</v>
      </c>
      <c r="AG21" s="270" t="s">
        <v>775</v>
      </c>
      <c r="AH21" s="270">
        <v>807616</v>
      </c>
      <c r="AI21" s="293"/>
      <c r="AJ21" s="270"/>
      <c r="AK21" s="270" t="s">
        <v>943</v>
      </c>
      <c r="AL21" s="378"/>
    </row>
    <row r="22" spans="1:38" s="36" customFormat="1">
      <c r="A22" s="661"/>
      <c r="B22" s="270"/>
      <c r="C22" s="270"/>
      <c r="D22" s="270"/>
      <c r="E22" s="290"/>
      <c r="F22" s="667"/>
      <c r="G22" s="270"/>
      <c r="H22" s="270"/>
      <c r="I22" s="270"/>
      <c r="J22" s="270"/>
      <c r="K22" s="270"/>
      <c r="L22" s="295"/>
      <c r="M22" s="270"/>
      <c r="N22" s="269"/>
      <c r="O22" s="270"/>
      <c r="P22" s="557"/>
      <c r="Q22" s="270"/>
      <c r="R22" s="292"/>
      <c r="S22" s="238" t="e">
        <f t="shared" si="11"/>
        <v>#DIV/0!</v>
      </c>
      <c r="T22" s="292"/>
      <c r="U22" s="425"/>
      <c r="V22" s="340"/>
      <c r="W22" s="292"/>
      <c r="X22" s="270"/>
      <c r="Y22" s="270"/>
      <c r="Z22" s="270"/>
      <c r="AA22" s="270"/>
      <c r="AB22" s="247">
        <f t="shared" ref="AB22:AB113" si="15">W22*1.5%</f>
        <v>0</v>
      </c>
      <c r="AC22" s="247">
        <f t="shared" si="12"/>
        <v>0</v>
      </c>
      <c r="AD22" s="279"/>
      <c r="AE22" s="280"/>
      <c r="AF22" s="270"/>
      <c r="AG22" s="270"/>
      <c r="AH22" s="373">
        <v>807617</v>
      </c>
      <c r="AI22" s="293"/>
      <c r="AJ22" s="270"/>
      <c r="AK22" s="270"/>
      <c r="AL22" s="378"/>
    </row>
    <row r="23" spans="1:38" s="36" customFormat="1">
      <c r="A23" s="718"/>
      <c r="B23" s="833"/>
      <c r="C23" s="270"/>
      <c r="D23" s="270"/>
      <c r="E23" s="290"/>
      <c r="F23" s="667"/>
      <c r="G23" s="270"/>
      <c r="H23" s="270"/>
      <c r="I23" s="270"/>
      <c r="J23" s="270"/>
      <c r="K23" s="270"/>
      <c r="L23" s="270"/>
      <c r="M23" s="270"/>
      <c r="N23" s="270"/>
      <c r="O23" s="270"/>
      <c r="P23" s="290"/>
      <c r="Q23" s="270"/>
      <c r="R23" s="292"/>
      <c r="S23" s="238" t="e">
        <f t="shared" ref="S23" si="16">(R23-T23)/R23*100</f>
        <v>#DIV/0!</v>
      </c>
      <c r="T23" s="292"/>
      <c r="U23" s="425"/>
      <c r="V23" s="340"/>
      <c r="W23" s="292"/>
      <c r="X23" s="270"/>
      <c r="Y23" s="270"/>
      <c r="Z23" s="270"/>
      <c r="AA23" s="270"/>
      <c r="AB23" s="247">
        <f>W23*0.15%</f>
        <v>0</v>
      </c>
      <c r="AC23" s="247">
        <f t="shared" si="12"/>
        <v>0</v>
      </c>
      <c r="AD23" s="279">
        <f>SUM(AC17:AC23)</f>
        <v>6576576.5765765756</v>
      </c>
      <c r="AE23" s="280"/>
      <c r="AF23" s="270"/>
      <c r="AG23" s="270"/>
      <c r="AH23" s="270">
        <v>806855</v>
      </c>
      <c r="AI23" s="293"/>
      <c r="AJ23" s="270"/>
      <c r="AK23" s="270"/>
      <c r="AL23" s="378"/>
    </row>
    <row r="24" spans="1:38" s="36" customFormat="1">
      <c r="A24" s="718">
        <v>46271</v>
      </c>
      <c r="B24" s="269" t="s">
        <v>899</v>
      </c>
      <c r="C24" s="270">
        <v>8094622</v>
      </c>
      <c r="D24" s="270" t="s">
        <v>989</v>
      </c>
      <c r="E24" s="290" t="s">
        <v>990</v>
      </c>
      <c r="F24" s="667">
        <v>13251950</v>
      </c>
      <c r="G24" s="270" t="s">
        <v>302</v>
      </c>
      <c r="H24" s="270"/>
      <c r="I24" s="270">
        <v>1</v>
      </c>
      <c r="J24" s="270"/>
      <c r="K24" s="270">
        <v>1</v>
      </c>
      <c r="L24" s="270" t="s">
        <v>92</v>
      </c>
      <c r="M24" s="270">
        <v>103471</v>
      </c>
      <c r="N24" s="270" t="s">
        <v>991</v>
      </c>
      <c r="O24" s="270" t="s">
        <v>992</v>
      </c>
      <c r="P24" s="290" t="s">
        <v>993</v>
      </c>
      <c r="Q24" s="270"/>
      <c r="R24" s="292"/>
      <c r="S24" s="238" t="e">
        <f t="shared" ref="S24" si="17">(R24-T24)/R24*100</f>
        <v>#DIV/0!</v>
      </c>
      <c r="T24" s="292"/>
      <c r="U24" s="425"/>
      <c r="V24" s="340"/>
      <c r="W24" s="292"/>
      <c r="X24" s="270"/>
      <c r="Y24" s="270"/>
      <c r="Z24" s="270"/>
      <c r="AA24" s="270"/>
      <c r="AB24" s="247">
        <f>W24*0.15%</f>
        <v>0</v>
      </c>
      <c r="AC24" s="247">
        <f t="shared" si="12"/>
        <v>0</v>
      </c>
      <c r="AD24" s="279">
        <f>SUM(AC24)</f>
        <v>0</v>
      </c>
      <c r="AE24" s="280" t="s">
        <v>769</v>
      </c>
      <c r="AF24" s="270" t="s">
        <v>769</v>
      </c>
      <c r="AG24" s="270" t="s">
        <v>769</v>
      </c>
      <c r="AH24" s="270">
        <v>806855</v>
      </c>
      <c r="AI24" s="293"/>
      <c r="AJ24" s="270"/>
      <c r="AK24" s="270" t="s">
        <v>994</v>
      </c>
      <c r="AL24" s="378"/>
    </row>
    <row r="25" spans="1:38" s="36" customFormat="1">
      <c r="A25" s="718">
        <v>46272</v>
      </c>
      <c r="B25" s="270" t="s">
        <v>1013</v>
      </c>
      <c r="C25" s="270"/>
      <c r="D25" s="293" t="s">
        <v>1035</v>
      </c>
      <c r="E25" s="290" t="s">
        <v>879</v>
      </c>
      <c r="F25" s="667">
        <v>13209277</v>
      </c>
      <c r="G25" s="270"/>
      <c r="H25" s="270"/>
      <c r="I25" s="270"/>
      <c r="J25" s="270"/>
      <c r="K25" s="270"/>
      <c r="L25" s="270"/>
      <c r="M25" s="270"/>
      <c r="N25" s="269" t="s">
        <v>804</v>
      </c>
      <c r="O25" s="270"/>
      <c r="P25" s="557" t="s">
        <v>1036</v>
      </c>
      <c r="Q25" s="270"/>
      <c r="R25" s="292"/>
      <c r="S25" s="238" t="e">
        <f t="shared" si="11"/>
        <v>#DIV/0!</v>
      </c>
      <c r="T25" s="292"/>
      <c r="U25" s="425"/>
      <c r="V25" s="340">
        <v>3500000</v>
      </c>
      <c r="W25" s="292"/>
      <c r="X25" s="270"/>
      <c r="Y25" s="270" t="s">
        <v>806</v>
      </c>
      <c r="Z25" s="270"/>
      <c r="AA25" s="270"/>
      <c r="AB25" s="247">
        <f>W25*1.4%</f>
        <v>0</v>
      </c>
      <c r="AC25" s="247">
        <f t="shared" si="12"/>
        <v>0</v>
      </c>
      <c r="AD25" s="279"/>
      <c r="AE25" s="280" t="s">
        <v>769</v>
      </c>
      <c r="AF25" s="270" t="s">
        <v>769</v>
      </c>
      <c r="AG25" s="270"/>
      <c r="AH25" s="270">
        <v>807616</v>
      </c>
      <c r="AI25" s="293"/>
      <c r="AJ25" s="270"/>
      <c r="AK25" s="270"/>
      <c r="AL25" s="378"/>
    </row>
    <row r="26" spans="1:38" s="36" customFormat="1">
      <c r="A26" s="718"/>
      <c r="B26" s="270" t="s">
        <v>1037</v>
      </c>
      <c r="C26" s="270"/>
      <c r="D26" s="270" t="s">
        <v>1038</v>
      </c>
      <c r="E26" s="290" t="s">
        <v>1039</v>
      </c>
      <c r="F26" s="667">
        <v>13675397</v>
      </c>
      <c r="G26" s="270" t="s">
        <v>302</v>
      </c>
      <c r="H26" s="270"/>
      <c r="I26" s="270">
        <v>1</v>
      </c>
      <c r="J26" s="270"/>
      <c r="K26" s="270">
        <v>1</v>
      </c>
      <c r="L26" s="270" t="s">
        <v>101</v>
      </c>
      <c r="M26" s="270">
        <v>100117486</v>
      </c>
      <c r="N26" s="284">
        <v>100117486</v>
      </c>
      <c r="O26" s="270">
        <v>100117486</v>
      </c>
      <c r="P26" s="290" t="s">
        <v>1040</v>
      </c>
      <c r="Q26" s="270">
        <v>1</v>
      </c>
      <c r="R26" s="292">
        <v>4000000</v>
      </c>
      <c r="S26" s="238">
        <f t="shared" si="11"/>
        <v>0</v>
      </c>
      <c r="T26" s="292">
        <f>R26</f>
        <v>4000000</v>
      </c>
      <c r="U26" s="425"/>
      <c r="V26" s="340"/>
      <c r="W26" s="292">
        <f>T26</f>
        <v>4000000</v>
      </c>
      <c r="X26" s="270"/>
      <c r="Y26" s="270"/>
      <c r="Z26" s="270" t="s">
        <v>806</v>
      </c>
      <c r="AA26" s="270" t="s">
        <v>978</v>
      </c>
      <c r="AB26" s="247">
        <f>W26*1.3%</f>
        <v>52000.000000000007</v>
      </c>
      <c r="AC26" s="247">
        <f t="shared" si="12"/>
        <v>3603603.6036036033</v>
      </c>
      <c r="AD26" s="279"/>
      <c r="AE26" s="280" t="s">
        <v>775</v>
      </c>
      <c r="AF26" s="270" t="s">
        <v>769</v>
      </c>
      <c r="AG26" s="270" t="s">
        <v>769</v>
      </c>
      <c r="AH26" s="373"/>
      <c r="AI26" s="293"/>
      <c r="AJ26" s="270"/>
      <c r="AK26" s="270"/>
      <c r="AL26" s="378"/>
    </row>
    <row r="27" spans="1:38" s="36" customFormat="1">
      <c r="A27" s="362"/>
      <c r="B27" s="270" t="s">
        <v>1041</v>
      </c>
      <c r="C27" s="270"/>
      <c r="D27" s="270" t="s">
        <v>1042</v>
      </c>
      <c r="E27" s="290" t="s">
        <v>1043</v>
      </c>
      <c r="F27" s="667">
        <v>13481737</v>
      </c>
      <c r="G27" s="270"/>
      <c r="H27" s="270"/>
      <c r="I27" s="270"/>
      <c r="J27" s="270"/>
      <c r="K27" s="270"/>
      <c r="L27" s="270"/>
      <c r="M27" s="270"/>
      <c r="N27" s="269" t="s">
        <v>804</v>
      </c>
      <c r="O27" s="270"/>
      <c r="P27" s="557" t="s">
        <v>1044</v>
      </c>
      <c r="Q27" s="270"/>
      <c r="R27" s="292"/>
      <c r="S27" s="238" t="e">
        <f t="shared" si="11"/>
        <v>#DIV/0!</v>
      </c>
      <c r="T27" s="292"/>
      <c r="U27" s="425"/>
      <c r="V27" s="340">
        <v>1200000</v>
      </c>
      <c r="W27" s="292"/>
      <c r="X27" s="270"/>
      <c r="Y27" s="270"/>
      <c r="Z27" s="270" t="s">
        <v>917</v>
      </c>
      <c r="AA27" s="270"/>
      <c r="AB27" s="247">
        <f t="shared" si="15"/>
        <v>0</v>
      </c>
      <c r="AC27" s="247">
        <f t="shared" si="12"/>
        <v>0</v>
      </c>
      <c r="AD27" s="279">
        <f>SUM(AC25:AC27)</f>
        <v>3603603.6036036033</v>
      </c>
      <c r="AE27" s="280" t="s">
        <v>768</v>
      </c>
      <c r="AF27" s="270" t="s">
        <v>768</v>
      </c>
      <c r="AG27" s="270"/>
      <c r="AH27" s="373"/>
      <c r="AI27" s="293"/>
      <c r="AJ27" s="270"/>
      <c r="AK27" s="270"/>
      <c r="AL27" s="378"/>
    </row>
    <row r="28" spans="1:38" s="36" customFormat="1">
      <c r="A28" s="718">
        <v>46273</v>
      </c>
      <c r="B28" s="270" t="s">
        <v>1051</v>
      </c>
      <c r="C28" s="310">
        <v>8094627</v>
      </c>
      <c r="D28" s="270" t="s">
        <v>1052</v>
      </c>
      <c r="E28" s="320" t="s">
        <v>1053</v>
      </c>
      <c r="F28" s="667">
        <v>13677331</v>
      </c>
      <c r="G28" s="270" t="s">
        <v>302</v>
      </c>
      <c r="H28" s="310"/>
      <c r="I28" s="310">
        <v>1</v>
      </c>
      <c r="J28" s="310"/>
      <c r="K28" s="310">
        <v>1</v>
      </c>
      <c r="L28" s="270" t="s">
        <v>92</v>
      </c>
      <c r="M28" s="310">
        <v>100264</v>
      </c>
      <c r="N28" s="270" t="s">
        <v>1054</v>
      </c>
      <c r="O28" s="310" t="s">
        <v>1055</v>
      </c>
      <c r="P28" s="290" t="s">
        <v>1056</v>
      </c>
      <c r="Q28" s="310">
        <v>1</v>
      </c>
      <c r="R28" s="339">
        <v>350000</v>
      </c>
      <c r="S28" s="238">
        <f t="shared" si="11"/>
        <v>0</v>
      </c>
      <c r="T28" s="339">
        <f>R28</f>
        <v>350000</v>
      </c>
      <c r="U28" s="428"/>
      <c r="V28" s="374"/>
      <c r="W28" s="339">
        <f>T28</f>
        <v>350000</v>
      </c>
      <c r="X28" s="310"/>
      <c r="Y28" s="310"/>
      <c r="Z28" s="310" t="s">
        <v>806</v>
      </c>
      <c r="AA28" s="310" t="s">
        <v>811</v>
      </c>
      <c r="AB28" s="247">
        <f>W28*1.25%</f>
        <v>4375</v>
      </c>
      <c r="AC28" s="247">
        <f t="shared" ref="AC28:AC29" si="18">(T28/1.11)</f>
        <v>315315.31531531527</v>
      </c>
      <c r="AD28" s="325"/>
      <c r="AE28" s="280"/>
      <c r="AF28" s="326"/>
      <c r="AG28" s="310"/>
      <c r="AH28" s="373"/>
      <c r="AI28" s="375"/>
      <c r="AJ28" s="310"/>
      <c r="AK28" s="270"/>
      <c r="AL28" s="378"/>
    </row>
    <row r="29" spans="1:38" s="36" customFormat="1">
      <c r="A29" s="661"/>
      <c r="B29" s="270" t="s">
        <v>1057</v>
      </c>
      <c r="C29" s="310">
        <v>8094606</v>
      </c>
      <c r="D29" s="270" t="s">
        <v>1058</v>
      </c>
      <c r="E29" s="320" t="s">
        <v>902</v>
      </c>
      <c r="F29" s="667">
        <v>13626668</v>
      </c>
      <c r="G29" s="270" t="s">
        <v>302</v>
      </c>
      <c r="H29" s="310"/>
      <c r="I29" s="310">
        <v>1</v>
      </c>
      <c r="J29" s="310"/>
      <c r="K29" s="310">
        <v>1</v>
      </c>
      <c r="L29" s="270" t="s">
        <v>92</v>
      </c>
      <c r="M29" s="310">
        <v>100233</v>
      </c>
      <c r="N29" s="270" t="s">
        <v>1060</v>
      </c>
      <c r="O29" s="310" t="s">
        <v>1061</v>
      </c>
      <c r="P29" s="290" t="s">
        <v>1059</v>
      </c>
      <c r="Q29" s="310">
        <v>1</v>
      </c>
      <c r="R29" s="339">
        <v>2400000</v>
      </c>
      <c r="S29" s="238">
        <f t="shared" si="11"/>
        <v>0</v>
      </c>
      <c r="T29" s="339">
        <f>R29</f>
        <v>2400000</v>
      </c>
      <c r="U29" s="428" t="s">
        <v>1062</v>
      </c>
      <c r="V29" s="374"/>
      <c r="W29" s="339"/>
      <c r="X29" s="310"/>
      <c r="Y29" s="310"/>
      <c r="Z29" s="310"/>
      <c r="AA29" s="310"/>
      <c r="AB29" s="247">
        <f t="shared" ref="AB29" si="19">W29*1.5%</f>
        <v>0</v>
      </c>
      <c r="AC29" s="247">
        <f t="shared" si="18"/>
        <v>2162162.1621621619</v>
      </c>
      <c r="AD29" s="279"/>
      <c r="AE29" s="326" t="s">
        <v>786</v>
      </c>
      <c r="AF29" s="310" t="s">
        <v>781</v>
      </c>
      <c r="AG29" s="310" t="s">
        <v>781</v>
      </c>
      <c r="AH29" s="373">
        <v>807617</v>
      </c>
      <c r="AI29" s="375"/>
      <c r="AJ29" s="310"/>
      <c r="AK29" s="310" t="s">
        <v>1063</v>
      </c>
      <c r="AL29" s="378"/>
    </row>
    <row r="30" spans="1:38" s="36" customFormat="1">
      <c r="A30" s="718"/>
      <c r="B30" s="270"/>
      <c r="C30" s="284"/>
      <c r="D30" s="284"/>
      <c r="E30" s="290"/>
      <c r="F30" s="667"/>
      <c r="G30" s="270"/>
      <c r="H30" s="284"/>
      <c r="I30" s="284"/>
      <c r="J30" s="284"/>
      <c r="K30" s="284"/>
      <c r="L30" s="270"/>
      <c r="M30" s="284"/>
      <c r="N30" s="284"/>
      <c r="O30" s="284"/>
      <c r="P30" s="290"/>
      <c r="Q30" s="284"/>
      <c r="R30" s="380"/>
      <c r="S30" s="238" t="e">
        <f t="shared" ref="S30:S113" si="20">(R30-T30)/R30*100</f>
        <v>#DIV/0!</v>
      </c>
      <c r="T30" s="380"/>
      <c r="U30" s="426"/>
      <c r="V30" s="381"/>
      <c r="W30" s="380"/>
      <c r="X30" s="284"/>
      <c r="Y30" s="284"/>
      <c r="Z30" s="284"/>
      <c r="AA30" s="284"/>
      <c r="AB30" s="247">
        <f>W30*1.3%</f>
        <v>0</v>
      </c>
      <c r="AC30" s="247">
        <f t="shared" si="12"/>
        <v>0</v>
      </c>
      <c r="AD30" s="282"/>
      <c r="AE30" s="283"/>
      <c r="AF30" s="284"/>
      <c r="AG30" s="284"/>
      <c r="AH30" s="284">
        <v>807616</v>
      </c>
      <c r="AI30" s="373"/>
      <c r="AJ30" s="284"/>
      <c r="AK30" s="270"/>
    </row>
    <row r="31" spans="1:38" s="36" customFormat="1">
      <c r="A31" s="362"/>
      <c r="B31" s="270"/>
      <c r="C31" s="284"/>
      <c r="D31" s="284"/>
      <c r="E31" s="290"/>
      <c r="F31" s="667"/>
      <c r="G31" s="270"/>
      <c r="H31" s="284"/>
      <c r="I31" s="284"/>
      <c r="J31" s="284"/>
      <c r="K31" s="284"/>
      <c r="L31" s="270"/>
      <c r="M31" s="284"/>
      <c r="N31" s="284"/>
      <c r="O31" s="284"/>
      <c r="P31" s="290"/>
      <c r="Q31" s="284"/>
      <c r="R31" s="380"/>
      <c r="S31" s="238" t="e">
        <f t="shared" si="20"/>
        <v>#DIV/0!</v>
      </c>
      <c r="T31" s="380"/>
      <c r="U31" s="426"/>
      <c r="V31" s="381"/>
      <c r="W31" s="380"/>
      <c r="X31" s="284"/>
      <c r="Y31" s="284"/>
      <c r="Z31" s="284"/>
      <c r="AA31" s="284"/>
      <c r="AB31" s="247">
        <f t="shared" si="15"/>
        <v>0</v>
      </c>
      <c r="AC31" s="247">
        <f t="shared" si="12"/>
        <v>0</v>
      </c>
      <c r="AD31" s="282"/>
      <c r="AE31" s="283"/>
      <c r="AF31" s="284"/>
      <c r="AG31" s="284"/>
      <c r="AH31" s="310">
        <v>806855</v>
      </c>
      <c r="AI31" s="373"/>
      <c r="AJ31" s="284"/>
      <c r="AK31" s="284"/>
    </row>
    <row r="32" spans="1:38" s="36" customFormat="1">
      <c r="A32" s="718"/>
      <c r="B32" s="269" t="s">
        <v>899</v>
      </c>
      <c r="C32" s="284">
        <v>8094632</v>
      </c>
      <c r="D32" s="284" t="s">
        <v>1064</v>
      </c>
      <c r="E32" s="290" t="s">
        <v>1066</v>
      </c>
      <c r="F32" s="667">
        <v>13597281</v>
      </c>
      <c r="G32" s="270" t="s">
        <v>302</v>
      </c>
      <c r="H32" s="284"/>
      <c r="I32" s="284">
        <v>1</v>
      </c>
      <c r="J32" s="284"/>
      <c r="K32" s="284">
        <v>1</v>
      </c>
      <c r="L32" s="270" t="s">
        <v>89</v>
      </c>
      <c r="M32" s="310">
        <v>358771</v>
      </c>
      <c r="N32" s="270" t="s">
        <v>1069</v>
      </c>
      <c r="O32" s="310" t="s">
        <v>1070</v>
      </c>
      <c r="P32" s="290" t="s">
        <v>909</v>
      </c>
      <c r="Q32" s="310"/>
      <c r="R32" s="339"/>
      <c r="S32" s="238" t="e">
        <f t="shared" si="20"/>
        <v>#DIV/0!</v>
      </c>
      <c r="T32" s="339"/>
      <c r="U32" s="428"/>
      <c r="V32" s="374"/>
      <c r="W32" s="339"/>
      <c r="X32" s="310"/>
      <c r="Y32" s="310"/>
      <c r="Z32" s="310"/>
      <c r="AA32" s="310"/>
      <c r="AB32" s="247">
        <f t="shared" si="15"/>
        <v>0</v>
      </c>
      <c r="AC32" s="247">
        <f t="shared" si="12"/>
        <v>0</v>
      </c>
      <c r="AD32" s="325"/>
      <c r="AE32" s="326" t="s">
        <v>786</v>
      </c>
      <c r="AF32" s="326" t="s">
        <v>786</v>
      </c>
      <c r="AG32" s="326" t="s">
        <v>786</v>
      </c>
      <c r="AH32" s="310"/>
      <c r="AI32" s="375"/>
      <c r="AJ32" s="310"/>
      <c r="AK32" s="310"/>
    </row>
    <row r="33" spans="1:37" s="36" customFormat="1">
      <c r="A33" s="376"/>
      <c r="B33" s="269" t="s">
        <v>899</v>
      </c>
      <c r="C33" s="310">
        <v>8094633</v>
      </c>
      <c r="D33" s="284" t="s">
        <v>1065</v>
      </c>
      <c r="E33" s="320" t="s">
        <v>1066</v>
      </c>
      <c r="F33" s="667">
        <v>13597281</v>
      </c>
      <c r="G33" s="270" t="s">
        <v>302</v>
      </c>
      <c r="H33" s="284"/>
      <c r="I33" s="284">
        <v>1</v>
      </c>
      <c r="J33" s="284"/>
      <c r="K33" s="284">
        <v>1</v>
      </c>
      <c r="L33" s="270" t="s">
        <v>89</v>
      </c>
      <c r="M33" s="310">
        <v>353268</v>
      </c>
      <c r="N33" s="310" t="s">
        <v>1067</v>
      </c>
      <c r="O33" s="310" t="s">
        <v>1068</v>
      </c>
      <c r="P33" s="290" t="s">
        <v>909</v>
      </c>
      <c r="Q33" s="310"/>
      <c r="R33" s="380"/>
      <c r="S33" s="238" t="e">
        <f t="shared" ref="S33" si="21">(R33-T33)/R33*100</f>
        <v>#DIV/0!</v>
      </c>
      <c r="T33" s="380"/>
      <c r="U33" s="428"/>
      <c r="V33" s="374"/>
      <c r="W33" s="339"/>
      <c r="X33" s="310"/>
      <c r="Y33" s="310"/>
      <c r="Z33" s="310"/>
      <c r="AA33" s="310"/>
      <c r="AB33" s="247">
        <f>W33*1.3%</f>
        <v>0</v>
      </c>
      <c r="AC33" s="247">
        <f t="shared" si="12"/>
        <v>0</v>
      </c>
      <c r="AD33" s="325">
        <f>SUM(AC28:AC33)</f>
        <v>2477477.4774774769</v>
      </c>
      <c r="AE33" s="326" t="s">
        <v>786</v>
      </c>
      <c r="AF33" s="326" t="s">
        <v>786</v>
      </c>
      <c r="AG33" s="326" t="s">
        <v>786</v>
      </c>
      <c r="AH33" s="284"/>
      <c r="AI33" s="375"/>
      <c r="AJ33" s="310"/>
      <c r="AK33" s="270"/>
    </row>
    <row r="34" spans="1:37" s="36" customFormat="1">
      <c r="A34" s="718">
        <v>46274</v>
      </c>
      <c r="B34" s="270" t="s">
        <v>1083</v>
      </c>
      <c r="C34" s="310"/>
      <c r="D34" s="284" t="s">
        <v>1084</v>
      </c>
      <c r="E34" s="320" t="s">
        <v>1085</v>
      </c>
      <c r="F34" s="667">
        <v>13677327</v>
      </c>
      <c r="G34" s="270" t="s">
        <v>302</v>
      </c>
      <c r="H34" s="284"/>
      <c r="I34" s="284"/>
      <c r="J34" s="284"/>
      <c r="K34" s="284"/>
      <c r="L34" s="270"/>
      <c r="M34" s="425"/>
      <c r="N34" s="269" t="s">
        <v>804</v>
      </c>
      <c r="O34" s="310"/>
      <c r="P34" s="557" t="s">
        <v>1086</v>
      </c>
      <c r="Q34" s="310"/>
      <c r="R34" s="339"/>
      <c r="S34" s="238" t="e">
        <f t="shared" si="20"/>
        <v>#DIV/0!</v>
      </c>
      <c r="T34" s="339"/>
      <c r="U34" s="428"/>
      <c r="V34" s="374">
        <v>3600000</v>
      </c>
      <c r="W34" s="339"/>
      <c r="X34" s="310"/>
      <c r="Y34" s="310" t="s">
        <v>806</v>
      </c>
      <c r="Z34" s="310"/>
      <c r="AA34" s="310"/>
      <c r="AB34" s="247">
        <f t="shared" si="15"/>
        <v>0</v>
      </c>
      <c r="AC34" s="247">
        <f t="shared" si="12"/>
        <v>0</v>
      </c>
      <c r="AD34" s="325">
        <f>SUM(AC34)</f>
        <v>0</v>
      </c>
      <c r="AE34" s="326" t="s">
        <v>775</v>
      </c>
      <c r="AF34" s="310" t="s">
        <v>775</v>
      </c>
      <c r="AG34" s="310"/>
      <c r="AH34" s="310"/>
      <c r="AI34" s="375"/>
      <c r="AJ34" s="310"/>
      <c r="AK34" s="310"/>
    </row>
    <row r="35" spans="1:37" s="36" customFormat="1">
      <c r="A35" s="718">
        <v>46275</v>
      </c>
      <c r="B35" s="310" t="s">
        <v>1120</v>
      </c>
      <c r="C35" s="310">
        <v>8094601</v>
      </c>
      <c r="D35" s="310" t="s">
        <v>1121</v>
      </c>
      <c r="E35" s="320" t="s">
        <v>1122</v>
      </c>
      <c r="F35" s="667">
        <v>13629783</v>
      </c>
      <c r="G35" s="270" t="s">
        <v>302</v>
      </c>
      <c r="H35" s="284"/>
      <c r="I35" s="284">
        <v>1</v>
      </c>
      <c r="J35" s="284"/>
      <c r="K35" s="284">
        <v>1</v>
      </c>
      <c r="L35" s="270" t="s">
        <v>92</v>
      </c>
      <c r="M35" s="310">
        <v>101886</v>
      </c>
      <c r="N35" s="270" t="s">
        <v>1123</v>
      </c>
      <c r="O35" s="310" t="s">
        <v>1124</v>
      </c>
      <c r="P35" s="290" t="s">
        <v>1059</v>
      </c>
      <c r="Q35" s="310">
        <v>1</v>
      </c>
      <c r="R35" s="339">
        <v>2400000</v>
      </c>
      <c r="S35" s="238">
        <f t="shared" si="20"/>
        <v>0</v>
      </c>
      <c r="T35" s="339">
        <f>R35</f>
        <v>2400000</v>
      </c>
      <c r="U35" s="428" t="s">
        <v>1125</v>
      </c>
      <c r="V35" s="374"/>
      <c r="W35" s="339">
        <v>1200000</v>
      </c>
      <c r="X35" s="310"/>
      <c r="Y35" s="310"/>
      <c r="Z35" s="310" t="s">
        <v>806</v>
      </c>
      <c r="AA35" s="310" t="s">
        <v>999</v>
      </c>
      <c r="AB35" s="247">
        <f>W35*0.15%</f>
        <v>1800</v>
      </c>
      <c r="AC35" s="247">
        <f t="shared" si="12"/>
        <v>2162162.1621621619</v>
      </c>
      <c r="AD35" s="325"/>
      <c r="AE35" s="326" t="s">
        <v>768</v>
      </c>
      <c r="AF35" s="310" t="s">
        <v>767</v>
      </c>
      <c r="AG35" s="310" t="s">
        <v>767</v>
      </c>
      <c r="AH35" s="310">
        <v>807616</v>
      </c>
      <c r="AI35" s="375"/>
      <c r="AJ35" s="310"/>
      <c r="AK35" s="270" t="s">
        <v>1126</v>
      </c>
    </row>
    <row r="36" spans="1:37" s="36" customFormat="1">
      <c r="A36" s="718"/>
      <c r="B36" s="667"/>
      <c r="C36" s="667"/>
      <c r="D36" s="667"/>
      <c r="E36" s="649"/>
      <c r="F36" s="662"/>
      <c r="G36" s="270"/>
      <c r="H36" s="667"/>
      <c r="I36" s="667"/>
      <c r="J36" s="667"/>
      <c r="K36" s="667"/>
      <c r="L36" s="270"/>
      <c r="M36" s="667"/>
      <c r="N36" s="270"/>
      <c r="O36" s="667"/>
      <c r="P36" s="290"/>
      <c r="Q36" s="310"/>
      <c r="R36" s="339"/>
      <c r="S36" s="238" t="e">
        <f t="shared" ref="S36" si="22">(R36-T36)/R36*100</f>
        <v>#DIV/0!</v>
      </c>
      <c r="T36" s="339">
        <f>R36</f>
        <v>0</v>
      </c>
      <c r="U36" s="688"/>
      <c r="V36" s="671"/>
      <c r="W36" s="670"/>
      <c r="X36" s="667"/>
      <c r="Y36" s="667"/>
      <c r="Z36" s="667"/>
      <c r="AA36" s="667"/>
      <c r="AB36" s="247">
        <f>W36*1.75%</f>
        <v>0</v>
      </c>
      <c r="AC36" s="247">
        <f t="shared" ref="AC36:AC42" si="23">(T36/1.11)</f>
        <v>0</v>
      </c>
      <c r="AD36" s="689"/>
      <c r="AE36" s="672"/>
      <c r="AF36" s="667"/>
      <c r="AG36" s="667"/>
      <c r="AH36" s="667">
        <v>806855</v>
      </c>
      <c r="AI36" s="673"/>
      <c r="AJ36" s="667"/>
      <c r="AK36" s="667"/>
    </row>
    <row r="37" spans="1:37" s="36" customFormat="1">
      <c r="A37" s="668"/>
      <c r="B37" s="667"/>
      <c r="C37" s="667"/>
      <c r="D37" s="667"/>
      <c r="E37" s="649"/>
      <c r="F37" s="667"/>
      <c r="G37" s="270"/>
      <c r="H37" s="667"/>
      <c r="I37" s="667"/>
      <c r="J37" s="667"/>
      <c r="K37" s="667"/>
      <c r="L37" s="685"/>
      <c r="M37" s="667"/>
      <c r="N37" s="686"/>
      <c r="O37" s="667"/>
      <c r="P37" s="687"/>
      <c r="Q37" s="667"/>
      <c r="R37" s="670"/>
      <c r="S37" s="238" t="e">
        <f t="shared" si="20"/>
        <v>#DIV/0!</v>
      </c>
      <c r="T37" s="670"/>
      <c r="U37" s="688"/>
      <c r="V37" s="671"/>
      <c r="W37" s="670"/>
      <c r="X37" s="667"/>
      <c r="Y37" s="667"/>
      <c r="Z37" s="667"/>
      <c r="AA37" s="667"/>
      <c r="AB37" s="247">
        <f t="shared" ref="AB37:AB40" si="24">W37*1.5%</f>
        <v>0</v>
      </c>
      <c r="AC37" s="247">
        <f t="shared" si="23"/>
        <v>0</v>
      </c>
      <c r="AD37" s="689"/>
      <c r="AE37" s="672"/>
      <c r="AF37" s="667"/>
      <c r="AG37" s="667"/>
      <c r="AH37" s="667">
        <v>807617</v>
      </c>
      <c r="AI37" s="673"/>
      <c r="AJ37" s="667"/>
      <c r="AK37" s="667"/>
    </row>
    <row r="38" spans="1:37" s="36" customFormat="1">
      <c r="A38" s="718">
        <v>46276</v>
      </c>
      <c r="B38" s="667" t="s">
        <v>1154</v>
      </c>
      <c r="C38" s="667">
        <v>8094620</v>
      </c>
      <c r="D38" s="667" t="s">
        <v>1155</v>
      </c>
      <c r="E38" s="649" t="s">
        <v>803</v>
      </c>
      <c r="F38" s="662">
        <v>13669871</v>
      </c>
      <c r="G38" s="270" t="s">
        <v>302</v>
      </c>
      <c r="H38" s="667"/>
      <c r="I38" s="667">
        <v>1</v>
      </c>
      <c r="J38" s="667"/>
      <c r="K38" s="667">
        <v>1</v>
      </c>
      <c r="L38" s="270" t="s">
        <v>92</v>
      </c>
      <c r="M38" s="667">
        <v>101887</v>
      </c>
      <c r="N38" s="270" t="s">
        <v>1156</v>
      </c>
      <c r="O38" s="667" t="s">
        <v>1157</v>
      </c>
      <c r="P38" s="290" t="s">
        <v>1059</v>
      </c>
      <c r="Q38" s="310">
        <v>1</v>
      </c>
      <c r="R38" s="339">
        <v>2400000</v>
      </c>
      <c r="S38" s="238">
        <f t="shared" si="20"/>
        <v>0</v>
      </c>
      <c r="T38" s="339">
        <f>R38</f>
        <v>2400000</v>
      </c>
      <c r="U38" s="688" t="s">
        <v>801</v>
      </c>
      <c r="V38" s="671"/>
      <c r="W38" s="670">
        <v>1200000</v>
      </c>
      <c r="X38" s="667"/>
      <c r="Y38" s="667"/>
      <c r="Z38" s="667" t="s">
        <v>1158</v>
      </c>
      <c r="AA38" s="667" t="s">
        <v>1159</v>
      </c>
      <c r="AB38" s="247">
        <f>W38*1.75%</f>
        <v>21000.000000000004</v>
      </c>
      <c r="AC38" s="247">
        <f t="shared" ref="AC38" si="25">(T38/1.11)</f>
        <v>2162162.1621621619</v>
      </c>
      <c r="AD38" s="689"/>
      <c r="AE38" s="672" t="s">
        <v>767</v>
      </c>
      <c r="AF38" s="667" t="s">
        <v>778</v>
      </c>
      <c r="AG38" s="667" t="s">
        <v>778</v>
      </c>
      <c r="AH38" s="667">
        <v>807617</v>
      </c>
      <c r="AI38" s="673"/>
      <c r="AJ38" s="667"/>
      <c r="AK38" s="667"/>
    </row>
    <row r="39" spans="1:37" s="36" customFormat="1">
      <c r="A39" s="718"/>
      <c r="B39" s="667"/>
      <c r="C39" s="667"/>
      <c r="D39" s="667"/>
      <c r="E39" s="649"/>
      <c r="F39" s="667"/>
      <c r="G39" s="270"/>
      <c r="H39" s="667"/>
      <c r="I39" s="667"/>
      <c r="J39" s="667"/>
      <c r="K39" s="667"/>
      <c r="L39" s="270"/>
      <c r="M39" s="667"/>
      <c r="N39" s="667"/>
      <c r="O39" s="667"/>
      <c r="P39" s="795"/>
      <c r="Q39" s="667"/>
      <c r="R39" s="670"/>
      <c r="S39" s="238" t="e">
        <f t="shared" si="20"/>
        <v>#DIV/0!</v>
      </c>
      <c r="T39" s="670"/>
      <c r="U39" s="688"/>
      <c r="V39" s="671"/>
      <c r="W39" s="670"/>
      <c r="X39" s="667"/>
      <c r="Y39" s="667"/>
      <c r="Z39" s="667"/>
      <c r="AA39" s="667"/>
      <c r="AB39" s="247">
        <f t="shared" si="24"/>
        <v>0</v>
      </c>
      <c r="AC39" s="247">
        <f t="shared" si="23"/>
        <v>0</v>
      </c>
      <c r="AD39" s="689"/>
      <c r="AE39" s="672"/>
      <c r="AF39" s="667"/>
      <c r="AG39" s="667"/>
      <c r="AH39" s="310">
        <v>806855</v>
      </c>
      <c r="AI39" s="673"/>
      <c r="AJ39" s="667"/>
      <c r="AK39" s="667"/>
    </row>
    <row r="40" spans="1:37" s="36" customFormat="1">
      <c r="A40" s="718"/>
      <c r="B40" s="686"/>
      <c r="C40" s="667"/>
      <c r="D40" s="667"/>
      <c r="E40" s="649"/>
      <c r="F40" s="667"/>
      <c r="G40" s="270"/>
      <c r="H40" s="667"/>
      <c r="I40" s="667"/>
      <c r="J40" s="667"/>
      <c r="K40" s="667"/>
      <c r="L40" s="270"/>
      <c r="M40" s="667"/>
      <c r="N40" s="667"/>
      <c r="O40" s="667"/>
      <c r="P40" s="290"/>
      <c r="Q40" s="667"/>
      <c r="R40" s="670"/>
      <c r="S40" s="238" t="e">
        <f t="shared" si="20"/>
        <v>#DIV/0!</v>
      </c>
      <c r="T40" s="670"/>
      <c r="U40" s="688"/>
      <c r="V40" s="671"/>
      <c r="W40" s="670"/>
      <c r="X40" s="667"/>
      <c r="Y40" s="667"/>
      <c r="Z40" s="667"/>
      <c r="AA40" s="667"/>
      <c r="AB40" s="247">
        <f t="shared" si="24"/>
        <v>0</v>
      </c>
      <c r="AC40" s="247">
        <f t="shared" si="23"/>
        <v>0</v>
      </c>
      <c r="AD40" s="689">
        <f>SUM(AC35:AC40)</f>
        <v>4324324.3243243238</v>
      </c>
      <c r="AE40" s="672"/>
      <c r="AF40" s="667"/>
      <c r="AG40" s="667"/>
      <c r="AH40" s="284">
        <v>807616</v>
      </c>
      <c r="AI40" s="673"/>
      <c r="AJ40" s="667"/>
      <c r="AK40" s="667" t="s">
        <v>1160</v>
      </c>
    </row>
    <row r="41" spans="1:37" s="36" customFormat="1">
      <c r="A41" s="718">
        <v>46277</v>
      </c>
      <c r="B41" s="310" t="s">
        <v>1161</v>
      </c>
      <c r="C41" s="667">
        <v>8094566</v>
      </c>
      <c r="D41" s="667" t="s">
        <v>1162</v>
      </c>
      <c r="E41" s="320" t="s">
        <v>1163</v>
      </c>
      <c r="F41" s="667">
        <v>13570016</v>
      </c>
      <c r="G41" s="270" t="s">
        <v>302</v>
      </c>
      <c r="H41" s="284"/>
      <c r="I41" s="284">
        <v>1</v>
      </c>
      <c r="J41" s="284"/>
      <c r="K41" s="284">
        <v>1</v>
      </c>
      <c r="L41" s="270" t="s">
        <v>92</v>
      </c>
      <c r="M41" s="310">
        <v>100120</v>
      </c>
      <c r="N41" s="284" t="s">
        <v>1164</v>
      </c>
      <c r="O41" s="310" t="s">
        <v>1165</v>
      </c>
      <c r="P41" s="290" t="s">
        <v>818</v>
      </c>
      <c r="Q41" s="310">
        <v>1</v>
      </c>
      <c r="R41" s="339">
        <v>7300000</v>
      </c>
      <c r="S41" s="238">
        <f t="shared" si="20"/>
        <v>0</v>
      </c>
      <c r="T41" s="339">
        <v>7300000</v>
      </c>
      <c r="U41" s="428" t="s">
        <v>1166</v>
      </c>
      <c r="V41" s="374"/>
      <c r="W41" s="339">
        <v>3650000</v>
      </c>
      <c r="X41" s="310"/>
      <c r="Y41" s="310"/>
      <c r="Z41" s="310" t="s">
        <v>806</v>
      </c>
      <c r="AA41" s="310" t="s">
        <v>999</v>
      </c>
      <c r="AB41" s="247">
        <f>W41*0.15%</f>
        <v>5475</v>
      </c>
      <c r="AC41" s="247">
        <f t="shared" si="23"/>
        <v>6576576.5765765756</v>
      </c>
      <c r="AD41" s="325"/>
      <c r="AE41" s="326" t="s">
        <v>767</v>
      </c>
      <c r="AF41" s="310" t="s">
        <v>767</v>
      </c>
      <c r="AG41" s="310" t="s">
        <v>767</v>
      </c>
      <c r="AH41" s="310">
        <v>807616</v>
      </c>
      <c r="AI41" s="375"/>
      <c r="AJ41" s="310"/>
      <c r="AK41" s="667" t="s">
        <v>1172</v>
      </c>
    </row>
    <row r="42" spans="1:37" s="36" customFormat="1">
      <c r="A42" s="718"/>
      <c r="B42" s="667" t="s">
        <v>1167</v>
      </c>
      <c r="C42" s="310">
        <v>8094565</v>
      </c>
      <c r="D42" s="667" t="s">
        <v>1168</v>
      </c>
      <c r="E42" s="320" t="s">
        <v>1163</v>
      </c>
      <c r="F42" s="667">
        <v>13570016</v>
      </c>
      <c r="G42" s="270" t="s">
        <v>302</v>
      </c>
      <c r="H42" s="284"/>
      <c r="I42" s="284"/>
      <c r="J42" s="284"/>
      <c r="K42" s="284"/>
      <c r="L42" s="270" t="s">
        <v>92</v>
      </c>
      <c r="M42" s="428" t="s">
        <v>1169</v>
      </c>
      <c r="N42" s="310" t="s">
        <v>1170</v>
      </c>
      <c r="O42" s="310" t="s">
        <v>1171</v>
      </c>
      <c r="P42" s="290" t="s">
        <v>1059</v>
      </c>
      <c r="Q42" s="310">
        <v>1</v>
      </c>
      <c r="R42" s="339">
        <v>2800000</v>
      </c>
      <c r="S42" s="238">
        <f t="shared" si="20"/>
        <v>0</v>
      </c>
      <c r="T42" s="339">
        <v>2800000</v>
      </c>
      <c r="U42" s="428" t="s">
        <v>1166</v>
      </c>
      <c r="V42" s="374"/>
      <c r="W42" s="339">
        <v>1400000</v>
      </c>
      <c r="X42" s="310"/>
      <c r="Y42" s="310"/>
      <c r="Z42" s="310" t="s">
        <v>806</v>
      </c>
      <c r="AA42" s="310" t="s">
        <v>999</v>
      </c>
      <c r="AB42" s="247">
        <f>W42*0.15%</f>
        <v>2100</v>
      </c>
      <c r="AC42" s="247">
        <f t="shared" si="23"/>
        <v>2522522.5225225221</v>
      </c>
      <c r="AD42" s="325"/>
      <c r="AE42" s="326"/>
      <c r="AF42" s="310"/>
      <c r="AG42" s="310"/>
      <c r="AH42" s="310"/>
      <c r="AI42" s="375"/>
      <c r="AJ42" s="310"/>
      <c r="AK42" s="667"/>
    </row>
    <row r="43" spans="1:37" s="36" customFormat="1">
      <c r="A43" s="718"/>
      <c r="B43" s="310" t="s">
        <v>1173</v>
      </c>
      <c r="C43" s="310"/>
      <c r="D43" s="310" t="s">
        <v>1174</v>
      </c>
      <c r="E43" s="320" t="s">
        <v>1163</v>
      </c>
      <c r="F43" s="667">
        <v>13570016</v>
      </c>
      <c r="G43" s="270" t="s">
        <v>302</v>
      </c>
      <c r="H43" s="284"/>
      <c r="I43" s="284"/>
      <c r="J43" s="284"/>
      <c r="K43" s="284"/>
      <c r="L43" s="573"/>
      <c r="M43" s="336"/>
      <c r="N43" s="335" t="s">
        <v>804</v>
      </c>
      <c r="O43" s="310"/>
      <c r="P43" s="557" t="s">
        <v>1175</v>
      </c>
      <c r="Q43" s="310"/>
      <c r="R43" s="339"/>
      <c r="S43" s="238" t="e">
        <f t="shared" si="20"/>
        <v>#DIV/0!</v>
      </c>
      <c r="T43" s="339"/>
      <c r="U43" s="428"/>
      <c r="V43" s="374"/>
      <c r="W43" s="339">
        <v>2525000</v>
      </c>
      <c r="X43" s="310"/>
      <c r="Y43" s="310"/>
      <c r="Z43" s="310" t="s">
        <v>806</v>
      </c>
      <c r="AA43" s="310" t="s">
        <v>1176</v>
      </c>
      <c r="AB43" s="247">
        <f>W43*1.3%</f>
        <v>32825</v>
      </c>
      <c r="AC43" s="247">
        <f t="shared" si="12"/>
        <v>0</v>
      </c>
      <c r="AD43" s="325"/>
      <c r="AE43" s="326" t="s">
        <v>767</v>
      </c>
      <c r="AF43" s="310" t="s">
        <v>767</v>
      </c>
      <c r="AG43" s="310"/>
      <c r="AH43" s="574"/>
      <c r="AI43" s="375"/>
      <c r="AJ43" s="310"/>
      <c r="AK43" s="310"/>
    </row>
    <row r="44" spans="1:37" s="36" customFormat="1">
      <c r="A44" s="718"/>
      <c r="B44" s="310"/>
      <c r="C44" s="310"/>
      <c r="D44" s="310"/>
      <c r="E44" s="320"/>
      <c r="F44" s="667"/>
      <c r="G44" s="270"/>
      <c r="H44" s="284"/>
      <c r="I44" s="284"/>
      <c r="J44" s="284"/>
      <c r="K44" s="284"/>
      <c r="L44" s="270"/>
      <c r="M44" s="310"/>
      <c r="N44" s="310"/>
      <c r="O44" s="310"/>
      <c r="P44" s="290"/>
      <c r="Q44" s="310"/>
      <c r="R44" s="339"/>
      <c r="S44" s="238" t="e">
        <f t="shared" si="20"/>
        <v>#DIV/0!</v>
      </c>
      <c r="T44" s="339"/>
      <c r="U44" s="428"/>
      <c r="V44" s="374"/>
      <c r="W44" s="374">
        <v>1125000</v>
      </c>
      <c r="X44" s="310"/>
      <c r="Y44" s="310"/>
      <c r="Z44" s="310" t="s">
        <v>806</v>
      </c>
      <c r="AA44" s="310" t="s">
        <v>999</v>
      </c>
      <c r="AB44" s="247">
        <f>W44*0.15%</f>
        <v>1687.5</v>
      </c>
      <c r="AC44" s="247">
        <f t="shared" si="12"/>
        <v>0</v>
      </c>
      <c r="AD44" s="325"/>
      <c r="AE44" s="326"/>
      <c r="AF44" s="310"/>
      <c r="AG44" s="310"/>
      <c r="AH44" s="667"/>
      <c r="AI44" s="375"/>
      <c r="AJ44" s="310"/>
      <c r="AK44" s="270"/>
    </row>
    <row r="45" spans="1:37" s="36" customFormat="1">
      <c r="A45" s="718"/>
      <c r="B45" s="310" t="s">
        <v>1177</v>
      </c>
      <c r="C45" s="667">
        <v>8094634</v>
      </c>
      <c r="D45" s="667" t="s">
        <v>1178</v>
      </c>
      <c r="E45" s="649" t="s">
        <v>879</v>
      </c>
      <c r="F45" s="667">
        <v>13209277</v>
      </c>
      <c r="G45" s="270" t="s">
        <v>302</v>
      </c>
      <c r="H45" s="667"/>
      <c r="I45" s="667">
        <v>1</v>
      </c>
      <c r="J45" s="667"/>
      <c r="K45" s="667">
        <v>1</v>
      </c>
      <c r="L45" s="270" t="s">
        <v>89</v>
      </c>
      <c r="M45" s="667">
        <v>358349</v>
      </c>
      <c r="N45" s="284" t="s">
        <v>880</v>
      </c>
      <c r="O45" s="667" t="s">
        <v>881</v>
      </c>
      <c r="P45" s="290" t="s">
        <v>832</v>
      </c>
      <c r="Q45" s="667">
        <v>1</v>
      </c>
      <c r="R45" s="670">
        <v>3500000</v>
      </c>
      <c r="S45" s="238">
        <f t="shared" si="20"/>
        <v>0</v>
      </c>
      <c r="T45" s="670">
        <v>3500000</v>
      </c>
      <c r="U45" s="688" t="s">
        <v>1013</v>
      </c>
      <c r="V45" s="670"/>
      <c r="W45" s="670"/>
      <c r="X45" s="667"/>
      <c r="Y45" s="310"/>
      <c r="Z45" s="667"/>
      <c r="AA45" s="667"/>
      <c r="AB45" s="247">
        <f t="shared" si="15"/>
        <v>0</v>
      </c>
      <c r="AC45" s="247">
        <f t="shared" si="12"/>
        <v>3153153.1531531527</v>
      </c>
      <c r="AD45" s="689"/>
      <c r="AE45" s="672" t="s">
        <v>769</v>
      </c>
      <c r="AF45" s="667" t="s">
        <v>769</v>
      </c>
      <c r="AG45" s="667" t="s">
        <v>769</v>
      </c>
      <c r="AH45" s="690"/>
      <c r="AI45" s="673"/>
      <c r="AJ45" s="667"/>
      <c r="AK45" s="667"/>
    </row>
    <row r="46" spans="1:37" s="36" customFormat="1">
      <c r="A46" s="661"/>
      <c r="B46" s="269" t="s">
        <v>899</v>
      </c>
      <c r="C46" s="667">
        <v>8094621</v>
      </c>
      <c r="D46" s="667" t="s">
        <v>1192</v>
      </c>
      <c r="E46" s="649" t="s">
        <v>1193</v>
      </c>
      <c r="F46" s="667">
        <v>13646109</v>
      </c>
      <c r="G46" s="270" t="s">
        <v>302</v>
      </c>
      <c r="H46" s="667"/>
      <c r="I46" s="667">
        <v>1</v>
      </c>
      <c r="J46" s="667"/>
      <c r="K46" s="667">
        <v>1</v>
      </c>
      <c r="L46" s="270" t="s">
        <v>89</v>
      </c>
      <c r="M46" s="667">
        <v>362345</v>
      </c>
      <c r="N46" s="667" t="s">
        <v>1097</v>
      </c>
      <c r="O46" s="667" t="s">
        <v>1194</v>
      </c>
      <c r="P46" s="290" t="s">
        <v>832</v>
      </c>
      <c r="Q46" s="667"/>
      <c r="R46" s="670"/>
      <c r="S46" s="238" t="e">
        <f t="shared" si="20"/>
        <v>#DIV/0!</v>
      </c>
      <c r="T46" s="670"/>
      <c r="U46" s="688"/>
      <c r="V46" s="671"/>
      <c r="W46" s="670"/>
      <c r="X46" s="667"/>
      <c r="Y46" s="667"/>
      <c r="Z46" s="667"/>
      <c r="AA46" s="667"/>
      <c r="AB46" s="247">
        <f t="shared" si="15"/>
        <v>0</v>
      </c>
      <c r="AC46" s="247">
        <f t="shared" si="12"/>
        <v>0</v>
      </c>
      <c r="AD46" s="689"/>
      <c r="AE46" s="672" t="s">
        <v>796</v>
      </c>
      <c r="AF46" s="667" t="s">
        <v>796</v>
      </c>
      <c r="AG46" s="667" t="s">
        <v>796</v>
      </c>
      <c r="AH46" s="690"/>
      <c r="AI46" s="673"/>
      <c r="AJ46" s="667"/>
      <c r="AK46" s="667"/>
    </row>
    <row r="47" spans="1:37" s="36" customFormat="1">
      <c r="A47" s="718"/>
      <c r="B47" s="269" t="s">
        <v>899</v>
      </c>
      <c r="C47" s="667">
        <v>8094624</v>
      </c>
      <c r="D47" s="667" t="s">
        <v>1195</v>
      </c>
      <c r="E47" s="649" t="s">
        <v>1229</v>
      </c>
      <c r="F47" s="667">
        <v>13593245</v>
      </c>
      <c r="G47" s="270" t="s">
        <v>302</v>
      </c>
      <c r="H47" s="667"/>
      <c r="I47" s="667">
        <v>1</v>
      </c>
      <c r="J47" s="667"/>
      <c r="K47" s="667">
        <v>1</v>
      </c>
      <c r="L47" s="270" t="s">
        <v>89</v>
      </c>
      <c r="M47" s="310">
        <v>362343</v>
      </c>
      <c r="N47" s="667" t="s">
        <v>1196</v>
      </c>
      <c r="O47" s="667" t="s">
        <v>1197</v>
      </c>
      <c r="P47" s="290" t="s">
        <v>1198</v>
      </c>
      <c r="Q47" s="667"/>
      <c r="R47" s="339"/>
      <c r="S47" s="238" t="e">
        <f t="shared" ref="S47" si="26">(R47-T47)/R47*100</f>
        <v>#DIV/0!</v>
      </c>
      <c r="T47" s="339"/>
      <c r="U47" s="688"/>
      <c r="V47" s="671"/>
      <c r="W47" s="670"/>
      <c r="X47" s="667"/>
      <c r="Y47" s="667"/>
      <c r="Z47" s="667"/>
      <c r="AA47" s="667"/>
      <c r="AB47" s="247">
        <f>W47*1.4%</f>
        <v>0</v>
      </c>
      <c r="AC47" s="247">
        <f t="shared" si="12"/>
        <v>0</v>
      </c>
      <c r="AD47" s="689"/>
      <c r="AE47" s="672" t="s">
        <v>781</v>
      </c>
      <c r="AF47" s="667" t="s">
        <v>781</v>
      </c>
      <c r="AG47" s="667" t="s">
        <v>781</v>
      </c>
      <c r="AH47" s="667">
        <v>806855</v>
      </c>
      <c r="AI47" s="673"/>
      <c r="AJ47" s="667"/>
      <c r="AK47" s="667" t="s">
        <v>1201</v>
      </c>
    </row>
    <row r="48" spans="1:37" s="36" customFormat="1">
      <c r="A48" s="661"/>
      <c r="B48" s="269" t="s">
        <v>899</v>
      </c>
      <c r="C48" s="667">
        <v>8094623</v>
      </c>
      <c r="D48" s="667" t="s">
        <v>1199</v>
      </c>
      <c r="E48" s="649" t="s">
        <v>1229</v>
      </c>
      <c r="F48" s="667">
        <v>13593245</v>
      </c>
      <c r="G48" s="270"/>
      <c r="H48" s="667"/>
      <c r="I48" s="667"/>
      <c r="J48" s="667"/>
      <c r="K48" s="667"/>
      <c r="L48" s="270" t="s">
        <v>89</v>
      </c>
      <c r="M48" s="667">
        <v>362343</v>
      </c>
      <c r="N48" s="667" t="s">
        <v>1196</v>
      </c>
      <c r="O48" s="667" t="s">
        <v>1200</v>
      </c>
      <c r="P48" s="290" t="s">
        <v>1198</v>
      </c>
      <c r="Q48" s="667"/>
      <c r="R48" s="670"/>
      <c r="S48" s="238" t="e">
        <f t="shared" si="20"/>
        <v>#DIV/0!</v>
      </c>
      <c r="T48" s="670"/>
      <c r="U48" s="688"/>
      <c r="V48" s="671"/>
      <c r="W48" s="670"/>
      <c r="X48" s="667"/>
      <c r="Y48" s="667"/>
      <c r="Z48" s="667"/>
      <c r="AA48" s="667"/>
      <c r="AB48" s="247">
        <f>W48*0.15%</f>
        <v>0</v>
      </c>
      <c r="AC48" s="247">
        <f t="shared" si="12"/>
        <v>0</v>
      </c>
      <c r="AD48" s="689"/>
      <c r="AE48" s="672" t="s">
        <v>781</v>
      </c>
      <c r="AF48" s="667" t="s">
        <v>781</v>
      </c>
      <c r="AG48" s="667" t="s">
        <v>781</v>
      </c>
      <c r="AH48" s="667">
        <v>806775</v>
      </c>
      <c r="AI48" s="673"/>
      <c r="AJ48" s="667"/>
      <c r="AK48" s="667"/>
    </row>
    <row r="49" spans="1:37" s="36" customFormat="1">
      <c r="A49" s="718"/>
      <c r="B49" s="269" t="s">
        <v>899</v>
      </c>
      <c r="C49" s="667">
        <v>8094628</v>
      </c>
      <c r="D49" s="667" t="s">
        <v>1219</v>
      </c>
      <c r="E49" s="649" t="s">
        <v>1220</v>
      </c>
      <c r="F49" s="667">
        <v>13114759</v>
      </c>
      <c r="G49" s="270" t="s">
        <v>302</v>
      </c>
      <c r="H49" s="667"/>
      <c r="I49" s="667">
        <v>1</v>
      </c>
      <c r="J49" s="667"/>
      <c r="K49" s="667">
        <v>1</v>
      </c>
      <c r="L49" s="270" t="s">
        <v>89</v>
      </c>
      <c r="M49" s="667">
        <v>352815</v>
      </c>
      <c r="N49" s="667" t="s">
        <v>1221</v>
      </c>
      <c r="O49" s="667" t="s">
        <v>1222</v>
      </c>
      <c r="P49" s="290" t="s">
        <v>832</v>
      </c>
      <c r="Q49" s="667"/>
      <c r="R49" s="670"/>
      <c r="S49" s="238" t="e">
        <f t="shared" si="20"/>
        <v>#DIV/0!</v>
      </c>
      <c r="T49" s="670"/>
      <c r="U49" s="688"/>
      <c r="V49" s="671"/>
      <c r="W49" s="670"/>
      <c r="X49" s="667"/>
      <c r="Y49" s="667"/>
      <c r="Z49" s="667"/>
      <c r="AA49" s="667"/>
      <c r="AB49" s="247">
        <f t="shared" si="15"/>
        <v>0</v>
      </c>
      <c r="AC49" s="247">
        <f t="shared" si="12"/>
        <v>0</v>
      </c>
      <c r="AD49" s="689"/>
      <c r="AE49" s="672" t="s">
        <v>778</v>
      </c>
      <c r="AF49" s="667" t="s">
        <v>778</v>
      </c>
      <c r="AG49" s="667" t="s">
        <v>778</v>
      </c>
      <c r="AH49" s="667"/>
      <c r="AI49" s="673"/>
      <c r="AJ49" s="667"/>
      <c r="AK49" s="310"/>
    </row>
    <row r="50" spans="1:37" s="36" customFormat="1">
      <c r="A50" s="668"/>
      <c r="B50" s="269" t="s">
        <v>899</v>
      </c>
      <c r="C50" s="667">
        <v>8094629</v>
      </c>
      <c r="D50" s="667" t="s">
        <v>1223</v>
      </c>
      <c r="E50" s="649" t="s">
        <v>1220</v>
      </c>
      <c r="F50" s="667">
        <v>13114759</v>
      </c>
      <c r="G50" s="270"/>
      <c r="H50" s="667"/>
      <c r="I50" s="667"/>
      <c r="J50" s="667"/>
      <c r="K50" s="667"/>
      <c r="L50" s="270" t="s">
        <v>89</v>
      </c>
      <c r="M50" s="667">
        <v>361293</v>
      </c>
      <c r="N50" s="667" t="s">
        <v>1224</v>
      </c>
      <c r="O50" s="667" t="s">
        <v>1225</v>
      </c>
      <c r="P50" s="290" t="s">
        <v>1198</v>
      </c>
      <c r="Q50" s="667"/>
      <c r="R50" s="670"/>
      <c r="S50" s="238" t="e">
        <f t="shared" si="20"/>
        <v>#DIV/0!</v>
      </c>
      <c r="T50" s="670"/>
      <c r="U50" s="688"/>
      <c r="V50" s="671"/>
      <c r="W50" s="670"/>
      <c r="X50" s="667"/>
      <c r="Y50" s="667"/>
      <c r="Z50" s="667"/>
      <c r="AA50" s="667"/>
      <c r="AB50" s="247">
        <f t="shared" si="15"/>
        <v>0</v>
      </c>
      <c r="AC50" s="247">
        <f t="shared" si="12"/>
        <v>0</v>
      </c>
      <c r="AD50" s="689"/>
      <c r="AE50" s="672" t="s">
        <v>778</v>
      </c>
      <c r="AF50" s="667" t="s">
        <v>778</v>
      </c>
      <c r="AG50" s="667" t="s">
        <v>778</v>
      </c>
      <c r="AH50" s="667"/>
      <c r="AI50" s="673"/>
      <c r="AJ50" s="667"/>
      <c r="AK50" s="667"/>
    </row>
    <row r="51" spans="1:37" s="36" customFormat="1">
      <c r="A51" s="429"/>
      <c r="B51" s="269" t="s">
        <v>899</v>
      </c>
      <c r="C51" s="284">
        <v>8094630</v>
      </c>
      <c r="D51" s="284" t="s">
        <v>1226</v>
      </c>
      <c r="E51" s="649" t="s">
        <v>1220</v>
      </c>
      <c r="F51" s="667">
        <v>13114759</v>
      </c>
      <c r="G51" s="284"/>
      <c r="H51" s="284"/>
      <c r="I51" s="284"/>
      <c r="J51" s="284"/>
      <c r="K51" s="284"/>
      <c r="L51" s="270" t="s">
        <v>89</v>
      </c>
      <c r="M51" s="284">
        <v>362189</v>
      </c>
      <c r="N51" s="284" t="s">
        <v>1227</v>
      </c>
      <c r="O51" s="284" t="s">
        <v>1228</v>
      </c>
      <c r="P51" s="290" t="s">
        <v>1198</v>
      </c>
      <c r="Q51" s="284"/>
      <c r="R51" s="380"/>
      <c r="S51" s="238" t="e">
        <f t="shared" si="20"/>
        <v>#DIV/0!</v>
      </c>
      <c r="T51" s="380"/>
      <c r="U51" s="426"/>
      <c r="V51" s="381"/>
      <c r="W51" s="380"/>
      <c r="X51" s="284"/>
      <c r="Y51" s="284"/>
      <c r="Z51" s="284"/>
      <c r="AA51" s="284"/>
      <c r="AB51" s="247">
        <f t="shared" si="15"/>
        <v>0</v>
      </c>
      <c r="AC51" s="247">
        <f t="shared" si="12"/>
        <v>0</v>
      </c>
      <c r="AD51" s="282">
        <f>SUM(AC41:AC51)</f>
        <v>12252252.252252251</v>
      </c>
      <c r="AE51" s="672" t="s">
        <v>778</v>
      </c>
      <c r="AF51" s="667" t="s">
        <v>778</v>
      </c>
      <c r="AG51" s="667" t="s">
        <v>778</v>
      </c>
      <c r="AH51" s="667"/>
      <c r="AI51" s="373"/>
      <c r="AJ51" s="284"/>
      <c r="AK51" s="284"/>
    </row>
    <row r="52" spans="1:37" s="36" customFormat="1">
      <c r="A52" s="718">
        <v>46278</v>
      </c>
      <c r="B52" s="667" t="s">
        <v>1230</v>
      </c>
      <c r="C52" s="667">
        <v>8094608</v>
      </c>
      <c r="D52" s="667" t="s">
        <v>1231</v>
      </c>
      <c r="E52" s="649" t="s">
        <v>1232</v>
      </c>
      <c r="F52" s="667">
        <v>13643721</v>
      </c>
      <c r="G52" s="270" t="s">
        <v>302</v>
      </c>
      <c r="H52" s="667"/>
      <c r="I52" s="667">
        <v>1</v>
      </c>
      <c r="J52" s="667"/>
      <c r="K52" s="667">
        <v>1</v>
      </c>
      <c r="L52" s="270" t="s">
        <v>92</v>
      </c>
      <c r="M52" s="667">
        <v>100248</v>
      </c>
      <c r="N52" s="667" t="s">
        <v>1233</v>
      </c>
      <c r="O52" s="667" t="s">
        <v>1234</v>
      </c>
      <c r="P52" s="669" t="s">
        <v>818</v>
      </c>
      <c r="Q52" s="667">
        <v>1</v>
      </c>
      <c r="R52" s="670">
        <v>7300000</v>
      </c>
      <c r="S52" s="238">
        <f t="shared" si="20"/>
        <v>0</v>
      </c>
      <c r="T52" s="670">
        <v>7300000</v>
      </c>
      <c r="U52" s="688" t="s">
        <v>1235</v>
      </c>
      <c r="V52" s="671"/>
      <c r="W52" s="670">
        <v>3650000</v>
      </c>
      <c r="X52" s="667"/>
      <c r="Y52" s="667"/>
      <c r="Z52" s="667" t="s">
        <v>806</v>
      </c>
      <c r="AA52" s="667" t="s">
        <v>999</v>
      </c>
      <c r="AB52" s="247">
        <f>W52*0.15%</f>
        <v>5475</v>
      </c>
      <c r="AC52" s="247">
        <f t="shared" si="12"/>
        <v>6576576.5765765756</v>
      </c>
      <c r="AD52" s="689"/>
      <c r="AE52" s="672" t="s">
        <v>786</v>
      </c>
      <c r="AF52" s="667" t="s">
        <v>786</v>
      </c>
      <c r="AG52" s="667" t="s">
        <v>786</v>
      </c>
      <c r="AH52" s="667"/>
      <c r="AI52" s="673"/>
      <c r="AJ52" s="667"/>
      <c r="AK52" s="667"/>
    </row>
    <row r="53" spans="1:37" s="36" customFormat="1">
      <c r="A53" s="718"/>
      <c r="B53" s="667" t="s">
        <v>1243</v>
      </c>
      <c r="C53" s="667">
        <v>8094602</v>
      </c>
      <c r="D53" s="667" t="s">
        <v>1244</v>
      </c>
      <c r="E53" s="649" t="s">
        <v>1245</v>
      </c>
      <c r="F53" s="667">
        <v>13636665</v>
      </c>
      <c r="G53" s="270" t="s">
        <v>302</v>
      </c>
      <c r="H53" s="667"/>
      <c r="I53" s="667">
        <v>1</v>
      </c>
      <c r="J53" s="667"/>
      <c r="K53" s="667">
        <v>1</v>
      </c>
      <c r="L53" s="270" t="s">
        <v>92</v>
      </c>
      <c r="M53" s="667">
        <v>100777</v>
      </c>
      <c r="N53" s="284" t="s">
        <v>1246</v>
      </c>
      <c r="O53" s="667" t="s">
        <v>1247</v>
      </c>
      <c r="P53" s="291" t="s">
        <v>1059</v>
      </c>
      <c r="Q53" s="667">
        <v>1</v>
      </c>
      <c r="R53" s="670">
        <v>2400000</v>
      </c>
      <c r="S53" s="238">
        <f t="shared" si="20"/>
        <v>0</v>
      </c>
      <c r="T53" s="670">
        <v>2400000</v>
      </c>
      <c r="U53" s="688" t="s">
        <v>1248</v>
      </c>
      <c r="V53" s="671"/>
      <c r="W53" s="670">
        <v>1200000</v>
      </c>
      <c r="X53" s="667"/>
      <c r="Y53" s="667"/>
      <c r="Z53" s="667" t="s">
        <v>806</v>
      </c>
      <c r="AA53" s="667" t="s">
        <v>1249</v>
      </c>
      <c r="AB53" s="247">
        <f>W53*1.3%</f>
        <v>15600.000000000002</v>
      </c>
      <c r="AC53" s="247">
        <f t="shared" si="12"/>
        <v>2162162.1621621619</v>
      </c>
      <c r="AD53" s="689"/>
      <c r="AE53" s="672" t="s">
        <v>796</v>
      </c>
      <c r="AF53" s="667" t="s">
        <v>796</v>
      </c>
      <c r="AG53" s="667" t="s">
        <v>796</v>
      </c>
      <c r="AH53" s="667">
        <v>806856</v>
      </c>
      <c r="AI53" s="673"/>
      <c r="AJ53" s="667"/>
      <c r="AK53" s="667" t="s">
        <v>1254</v>
      </c>
    </row>
    <row r="54" spans="1:37" s="36" customFormat="1">
      <c r="A54" s="668"/>
      <c r="B54" s="667" t="s">
        <v>1250</v>
      </c>
      <c r="C54" s="667">
        <v>8094603</v>
      </c>
      <c r="D54" s="667" t="s">
        <v>1251</v>
      </c>
      <c r="E54" s="649" t="s">
        <v>1245</v>
      </c>
      <c r="F54" s="667">
        <v>13636665</v>
      </c>
      <c r="G54" s="270"/>
      <c r="H54" s="667"/>
      <c r="I54" s="667"/>
      <c r="J54" s="667"/>
      <c r="K54" s="667"/>
      <c r="L54" s="270" t="s">
        <v>92</v>
      </c>
      <c r="M54" s="667">
        <v>100865</v>
      </c>
      <c r="N54" s="667" t="s">
        <v>1252</v>
      </c>
      <c r="O54" s="667" t="s">
        <v>1253</v>
      </c>
      <c r="P54" s="291" t="s">
        <v>1059</v>
      </c>
      <c r="Q54" s="667">
        <v>1</v>
      </c>
      <c r="R54" s="670">
        <v>2400000</v>
      </c>
      <c r="S54" s="238">
        <f t="shared" ref="S54" si="27">(R54-T54)/R54*100</f>
        <v>0</v>
      </c>
      <c r="T54" s="670">
        <v>2400000</v>
      </c>
      <c r="U54" s="688" t="s">
        <v>1248</v>
      </c>
      <c r="V54" s="671"/>
      <c r="W54" s="670">
        <v>1200000</v>
      </c>
      <c r="X54" s="667"/>
      <c r="Y54" s="667"/>
      <c r="Z54" s="667" t="s">
        <v>806</v>
      </c>
      <c r="AA54" s="667" t="s">
        <v>1249</v>
      </c>
      <c r="AB54" s="247">
        <f>W54*1.4%</f>
        <v>16800</v>
      </c>
      <c r="AC54" s="247">
        <f t="shared" si="12"/>
        <v>2162162.1621621619</v>
      </c>
      <c r="AD54" s="689"/>
      <c r="AE54" s="672" t="s">
        <v>796</v>
      </c>
      <c r="AF54" s="667" t="s">
        <v>796</v>
      </c>
      <c r="AG54" s="667" t="s">
        <v>796</v>
      </c>
      <c r="AH54" s="667">
        <v>807617</v>
      </c>
      <c r="AI54" s="673"/>
      <c r="AJ54" s="667"/>
      <c r="AK54" s="667"/>
    </row>
    <row r="55" spans="1:37" s="36" customFormat="1">
      <c r="A55" s="718"/>
      <c r="B55" s="667"/>
      <c r="C55" s="667"/>
      <c r="D55" s="667"/>
      <c r="E55" s="649"/>
      <c r="F55" s="667"/>
      <c r="G55" s="270"/>
      <c r="H55" s="667"/>
      <c r="I55" s="667"/>
      <c r="J55" s="667"/>
      <c r="K55" s="667"/>
      <c r="L55" s="685"/>
      <c r="M55" s="686"/>
      <c r="N55" s="686"/>
      <c r="O55" s="667"/>
      <c r="P55" s="682"/>
      <c r="Q55" s="667"/>
      <c r="R55" s="670"/>
      <c r="S55" s="238" t="e">
        <f t="shared" si="20"/>
        <v>#DIV/0!</v>
      </c>
      <c r="T55" s="670"/>
      <c r="U55" s="688"/>
      <c r="V55" s="671"/>
      <c r="W55" s="670"/>
      <c r="X55" s="667"/>
      <c r="Y55" s="667"/>
      <c r="Z55" s="667"/>
      <c r="AA55" s="667"/>
      <c r="AB55" s="247">
        <f>W55*1.4%</f>
        <v>0</v>
      </c>
      <c r="AC55" s="247">
        <f t="shared" si="12"/>
        <v>0</v>
      </c>
      <c r="AD55" s="689"/>
      <c r="AE55" s="672"/>
      <c r="AF55" s="667"/>
      <c r="AG55" s="667"/>
      <c r="AH55" s="667">
        <v>807616</v>
      </c>
      <c r="AI55" s="673"/>
      <c r="AJ55" s="667"/>
      <c r="AK55" s="667"/>
    </row>
    <row r="56" spans="1:37" s="36" customFormat="1">
      <c r="A56" s="718"/>
      <c r="B56" s="686"/>
      <c r="C56" s="667"/>
      <c r="D56" s="667"/>
      <c r="E56" s="649"/>
      <c r="F56" s="667"/>
      <c r="G56" s="270"/>
      <c r="H56" s="667"/>
      <c r="I56" s="667"/>
      <c r="J56" s="667"/>
      <c r="K56" s="667"/>
      <c r="L56" s="270"/>
      <c r="M56" s="667"/>
      <c r="N56" s="310"/>
      <c r="O56" s="667"/>
      <c r="P56" s="669"/>
      <c r="Q56" s="667"/>
      <c r="R56" s="670"/>
      <c r="S56" s="238" t="e">
        <f t="shared" si="20"/>
        <v>#DIV/0!</v>
      </c>
      <c r="T56" s="670"/>
      <c r="U56" s="688"/>
      <c r="V56" s="671"/>
      <c r="W56" s="670"/>
      <c r="X56" s="667"/>
      <c r="Y56" s="667"/>
      <c r="Z56" s="667"/>
      <c r="AA56" s="667"/>
      <c r="AB56" s="247">
        <f>W56*1.4%</f>
        <v>0</v>
      </c>
      <c r="AC56" s="247">
        <f t="shared" si="12"/>
        <v>0</v>
      </c>
      <c r="AD56" s="689"/>
      <c r="AE56" s="672"/>
      <c r="AF56" s="667"/>
      <c r="AG56" s="667"/>
      <c r="AH56" s="667">
        <v>807616</v>
      </c>
      <c r="AI56" s="673"/>
      <c r="AJ56" s="667"/>
      <c r="AK56" s="667"/>
    </row>
    <row r="57" spans="1:37" s="36" customFormat="1">
      <c r="A57" s="718"/>
      <c r="B57" s="269" t="s">
        <v>899</v>
      </c>
      <c r="C57" s="667">
        <v>8094636</v>
      </c>
      <c r="D57" s="667" t="s">
        <v>1255</v>
      </c>
      <c r="E57" s="649" t="s">
        <v>1256</v>
      </c>
      <c r="F57" s="667">
        <v>13365856</v>
      </c>
      <c r="G57" s="270" t="s">
        <v>302</v>
      </c>
      <c r="H57" s="667"/>
      <c r="I57" s="667">
        <v>1</v>
      </c>
      <c r="J57" s="667"/>
      <c r="K57" s="667">
        <v>1</v>
      </c>
      <c r="L57" s="270" t="s">
        <v>89</v>
      </c>
      <c r="M57" s="667">
        <v>360333</v>
      </c>
      <c r="N57" s="310" t="s">
        <v>1257</v>
      </c>
      <c r="O57" s="667" t="s">
        <v>1258</v>
      </c>
      <c r="P57" s="290" t="s">
        <v>909</v>
      </c>
      <c r="Q57" s="667"/>
      <c r="R57" s="670"/>
      <c r="S57" s="238" t="e">
        <f t="shared" ref="S57" si="28">(R57-T57)/R57*100</f>
        <v>#DIV/0!</v>
      </c>
      <c r="T57" s="670"/>
      <c r="U57" s="688"/>
      <c r="V57" s="671"/>
      <c r="W57" s="670"/>
      <c r="X57" s="667"/>
      <c r="Y57" s="667"/>
      <c r="Z57" s="667"/>
      <c r="AA57" s="667"/>
      <c r="AB57" s="247">
        <f t="shared" si="15"/>
        <v>0</v>
      </c>
      <c r="AC57" s="247">
        <f t="shared" si="12"/>
        <v>0</v>
      </c>
      <c r="AD57" s="689"/>
      <c r="AE57" s="672" t="s">
        <v>781</v>
      </c>
      <c r="AF57" s="667" t="s">
        <v>781</v>
      </c>
      <c r="AG57" s="667" t="s">
        <v>781</v>
      </c>
      <c r="AH57" s="690"/>
      <c r="AI57" s="673"/>
      <c r="AJ57" s="667"/>
      <c r="AK57" s="667"/>
    </row>
    <row r="58" spans="1:37" s="36" customFormat="1">
      <c r="A58" s="718"/>
      <c r="B58" s="269" t="s">
        <v>899</v>
      </c>
      <c r="C58" s="667">
        <v>8094637</v>
      </c>
      <c r="D58" s="667" t="s">
        <v>1259</v>
      </c>
      <c r="E58" s="649" t="s">
        <v>1256</v>
      </c>
      <c r="F58" s="667">
        <v>13365856</v>
      </c>
      <c r="G58" s="270"/>
      <c r="H58" s="667"/>
      <c r="I58" s="667"/>
      <c r="J58" s="667"/>
      <c r="K58" s="667"/>
      <c r="L58" s="270" t="s">
        <v>89</v>
      </c>
      <c r="M58" s="667">
        <v>360335</v>
      </c>
      <c r="N58" s="667" t="s">
        <v>1257</v>
      </c>
      <c r="O58" s="667" t="s">
        <v>1260</v>
      </c>
      <c r="P58" s="290" t="s">
        <v>909</v>
      </c>
      <c r="Q58" s="667"/>
      <c r="R58" s="670"/>
      <c r="S58" s="238" t="e">
        <f t="shared" ref="S58" si="29">(R58-T58)/R58*100</f>
        <v>#DIV/0!</v>
      </c>
      <c r="T58" s="670"/>
      <c r="U58" s="688"/>
      <c r="V58" s="671"/>
      <c r="W58" s="670"/>
      <c r="X58" s="667"/>
      <c r="Y58" s="667"/>
      <c r="Z58" s="667"/>
      <c r="AA58" s="667"/>
      <c r="AB58" s="247">
        <f t="shared" si="15"/>
        <v>0</v>
      </c>
      <c r="AC58" s="247">
        <f t="shared" si="12"/>
        <v>0</v>
      </c>
      <c r="AD58" s="689">
        <f>SUM(AC52:AC58)</f>
        <v>10900900.9009009</v>
      </c>
      <c r="AE58" s="672" t="s">
        <v>781</v>
      </c>
      <c r="AF58" s="667" t="s">
        <v>781</v>
      </c>
      <c r="AG58" s="667" t="s">
        <v>781</v>
      </c>
      <c r="AH58" s="667"/>
      <c r="AI58" s="673"/>
      <c r="AJ58" s="667"/>
      <c r="AK58" s="667"/>
    </row>
    <row r="59" spans="1:37" s="36" customFormat="1">
      <c r="A59" s="718">
        <v>46279</v>
      </c>
      <c r="B59" s="269" t="s">
        <v>800</v>
      </c>
      <c r="C59" s="667"/>
      <c r="D59" s="667"/>
      <c r="E59" s="649"/>
      <c r="F59" s="667"/>
      <c r="G59" s="270"/>
      <c r="H59" s="667"/>
      <c r="I59" s="667"/>
      <c r="J59" s="667"/>
      <c r="K59" s="667"/>
      <c r="L59" s="685"/>
      <c r="M59" s="662"/>
      <c r="N59" s="667"/>
      <c r="O59" s="667"/>
      <c r="P59" s="669"/>
      <c r="Q59" s="667"/>
      <c r="R59" s="670"/>
      <c r="S59" s="238" t="e">
        <f t="shared" si="20"/>
        <v>#DIV/0!</v>
      </c>
      <c r="T59" s="670"/>
      <c r="U59" s="688"/>
      <c r="V59" s="671"/>
      <c r="W59" s="670"/>
      <c r="X59" s="667"/>
      <c r="Y59" s="667"/>
      <c r="Z59" s="667"/>
      <c r="AA59" s="667"/>
      <c r="AB59" s="247">
        <f>W59*1.4%</f>
        <v>0</v>
      </c>
      <c r="AC59" s="247">
        <f t="shared" si="12"/>
        <v>0</v>
      </c>
      <c r="AD59" s="689"/>
      <c r="AE59" s="672"/>
      <c r="AF59" s="667"/>
      <c r="AG59" s="667"/>
      <c r="AH59" s="667"/>
      <c r="AI59" s="673"/>
      <c r="AJ59" s="667"/>
      <c r="AK59" s="667"/>
    </row>
    <row r="60" spans="1:37" s="36" customFormat="1">
      <c r="A60" s="718">
        <v>46280</v>
      </c>
      <c r="B60" s="270" t="s">
        <v>1276</v>
      </c>
      <c r="C60" s="667">
        <v>8094605</v>
      </c>
      <c r="D60" s="667" t="s">
        <v>1277</v>
      </c>
      <c r="E60" s="649" t="s">
        <v>1278</v>
      </c>
      <c r="F60" s="667">
        <v>13258965</v>
      </c>
      <c r="G60" s="270" t="s">
        <v>302</v>
      </c>
      <c r="H60" s="667"/>
      <c r="I60" s="667">
        <v>1</v>
      </c>
      <c r="J60" s="667"/>
      <c r="K60" s="667">
        <v>1</v>
      </c>
      <c r="L60" s="270" t="s">
        <v>92</v>
      </c>
      <c r="M60" s="667">
        <v>101817</v>
      </c>
      <c r="N60" s="667" t="s">
        <v>1279</v>
      </c>
      <c r="O60" s="667" t="s">
        <v>1280</v>
      </c>
      <c r="P60" s="291" t="s">
        <v>1059</v>
      </c>
      <c r="Q60" s="667">
        <v>1</v>
      </c>
      <c r="R60" s="670">
        <v>2400000</v>
      </c>
      <c r="S60" s="238">
        <f t="shared" si="20"/>
        <v>0</v>
      </c>
      <c r="T60" s="670">
        <f>R60</f>
        <v>2400000</v>
      </c>
      <c r="U60" s="688" t="s">
        <v>1281</v>
      </c>
      <c r="V60" s="671"/>
      <c r="W60" s="670"/>
      <c r="X60" s="667"/>
      <c r="Y60" s="667"/>
      <c r="Z60" s="667"/>
      <c r="AA60" s="667"/>
      <c r="AB60" s="247">
        <f t="shared" si="15"/>
        <v>0</v>
      </c>
      <c r="AC60" s="247">
        <f t="shared" si="12"/>
        <v>2162162.1621621619</v>
      </c>
      <c r="AD60" s="689">
        <f>AC60</f>
        <v>2162162.1621621619</v>
      </c>
      <c r="AE60" s="672" t="s">
        <v>775</v>
      </c>
      <c r="AF60" s="667" t="s">
        <v>775</v>
      </c>
      <c r="AG60" s="667" t="s">
        <v>775</v>
      </c>
      <c r="AH60" s="667">
        <v>807616</v>
      </c>
      <c r="AI60" s="673"/>
      <c r="AJ60" s="667"/>
      <c r="AK60" s="667" t="s">
        <v>1282</v>
      </c>
    </row>
    <row r="61" spans="1:37" s="36" customFormat="1">
      <c r="A61" s="661"/>
      <c r="B61" s="269" t="s">
        <v>899</v>
      </c>
      <c r="C61" s="667">
        <v>8094604</v>
      </c>
      <c r="D61" s="667" t="s">
        <v>1283</v>
      </c>
      <c r="E61" s="649" t="s">
        <v>1278</v>
      </c>
      <c r="F61" s="667">
        <v>13258965</v>
      </c>
      <c r="G61" s="270" t="s">
        <v>302</v>
      </c>
      <c r="H61" s="667"/>
      <c r="I61" s="667">
        <v>1</v>
      </c>
      <c r="J61" s="667"/>
      <c r="K61" s="667">
        <v>1</v>
      </c>
      <c r="L61" s="270" t="s">
        <v>89</v>
      </c>
      <c r="M61" s="667">
        <v>362777</v>
      </c>
      <c r="N61" s="310" t="s">
        <v>1284</v>
      </c>
      <c r="O61" s="667" t="s">
        <v>1285</v>
      </c>
      <c r="P61" s="669" t="s">
        <v>1286</v>
      </c>
      <c r="Q61" s="667"/>
      <c r="R61" s="670"/>
      <c r="S61" s="238" t="e">
        <f t="shared" si="20"/>
        <v>#DIV/0!</v>
      </c>
      <c r="T61" s="670"/>
      <c r="U61" s="688"/>
      <c r="V61" s="671"/>
      <c r="W61" s="670"/>
      <c r="X61" s="667"/>
      <c r="Y61" s="667"/>
      <c r="Z61" s="667"/>
      <c r="AA61" s="667"/>
      <c r="AB61" s="247">
        <f t="shared" si="15"/>
        <v>0</v>
      </c>
      <c r="AC61" s="247">
        <f t="shared" si="12"/>
        <v>0</v>
      </c>
      <c r="AD61" s="689"/>
      <c r="AE61" s="672" t="s">
        <v>775</v>
      </c>
      <c r="AF61" s="667" t="s">
        <v>775</v>
      </c>
      <c r="AG61" s="667" t="s">
        <v>775</v>
      </c>
      <c r="AH61" s="690"/>
      <c r="AI61" s="673"/>
      <c r="AJ61" s="667"/>
      <c r="AK61" s="667"/>
    </row>
    <row r="62" spans="1:37" s="36" customFormat="1">
      <c r="A62" s="718">
        <v>46281</v>
      </c>
      <c r="B62" s="667" t="s">
        <v>1310</v>
      </c>
      <c r="C62" s="667">
        <v>8094585</v>
      </c>
      <c r="D62" s="667" t="s">
        <v>1311</v>
      </c>
      <c r="E62" s="649" t="s">
        <v>1312</v>
      </c>
      <c r="F62" s="667">
        <v>13417083</v>
      </c>
      <c r="G62" s="270" t="s">
        <v>302</v>
      </c>
      <c r="H62" s="667"/>
      <c r="I62" s="667">
        <v>1</v>
      </c>
      <c r="J62" s="667"/>
      <c r="K62" s="667">
        <v>1</v>
      </c>
      <c r="L62" s="270" t="s">
        <v>92</v>
      </c>
      <c r="M62" s="667">
        <v>102532</v>
      </c>
      <c r="N62" s="667" t="s">
        <v>1313</v>
      </c>
      <c r="O62" s="667" t="s">
        <v>1314</v>
      </c>
      <c r="P62" s="290" t="s">
        <v>1286</v>
      </c>
      <c r="Q62" s="667">
        <v>1</v>
      </c>
      <c r="R62" s="670">
        <v>3400000</v>
      </c>
      <c r="S62" s="238">
        <f t="shared" si="20"/>
        <v>0</v>
      </c>
      <c r="T62" s="670">
        <f>R62</f>
        <v>3400000</v>
      </c>
      <c r="U62" s="688" t="s">
        <v>1315</v>
      </c>
      <c r="V62" s="671"/>
      <c r="W62" s="670"/>
      <c r="X62" s="667"/>
      <c r="Y62" s="667"/>
      <c r="Z62" s="667"/>
      <c r="AA62" s="667"/>
      <c r="AB62" s="247">
        <f t="shared" si="15"/>
        <v>0</v>
      </c>
      <c r="AC62" s="247">
        <f t="shared" si="12"/>
        <v>3063063.0630630627</v>
      </c>
      <c r="AD62" s="689">
        <f>AC62</f>
        <v>3063063.0630630627</v>
      </c>
      <c r="AE62" s="672" t="s">
        <v>796</v>
      </c>
      <c r="AF62" s="667" t="s">
        <v>796</v>
      </c>
      <c r="AG62" s="667" t="s">
        <v>796</v>
      </c>
      <c r="AH62" s="667">
        <v>807616</v>
      </c>
      <c r="AI62" s="673"/>
      <c r="AJ62" s="667"/>
      <c r="AK62" s="667" t="s">
        <v>1316</v>
      </c>
    </row>
    <row r="63" spans="1:37" s="378" customFormat="1">
      <c r="A63" s="661">
        <v>46282</v>
      </c>
      <c r="B63" s="269" t="s">
        <v>899</v>
      </c>
      <c r="C63" s="667">
        <v>8094625</v>
      </c>
      <c r="D63" s="667" t="s">
        <v>1343</v>
      </c>
      <c r="E63" s="649" t="s">
        <v>1346</v>
      </c>
      <c r="F63" s="667">
        <v>13611412</v>
      </c>
      <c r="G63" s="270" t="s">
        <v>302</v>
      </c>
      <c r="H63" s="667"/>
      <c r="I63" s="667"/>
      <c r="J63" s="667"/>
      <c r="K63" s="667"/>
      <c r="L63" s="270" t="s">
        <v>89</v>
      </c>
      <c r="M63" s="667">
        <v>353384</v>
      </c>
      <c r="N63" s="667"/>
      <c r="O63" s="667" t="s">
        <v>1345</v>
      </c>
      <c r="P63" s="290" t="s">
        <v>1286</v>
      </c>
      <c r="Q63" s="667"/>
      <c r="R63" s="670"/>
      <c r="S63" s="274" t="e">
        <f t="shared" si="20"/>
        <v>#DIV/0!</v>
      </c>
      <c r="T63" s="670"/>
      <c r="U63" s="688"/>
      <c r="V63" s="671"/>
      <c r="W63" s="670"/>
      <c r="X63" s="667"/>
      <c r="Y63" s="667"/>
      <c r="Z63" s="667"/>
      <c r="AA63" s="667"/>
      <c r="AB63" s="280">
        <f>W63*1.3%</f>
        <v>0</v>
      </c>
      <c r="AC63" s="280">
        <f t="shared" si="12"/>
        <v>0</v>
      </c>
      <c r="AD63" s="689"/>
      <c r="AE63" s="672"/>
      <c r="AF63" s="667"/>
      <c r="AG63" s="667"/>
      <c r="AH63" s="667"/>
      <c r="AI63" s="673"/>
      <c r="AJ63" s="667"/>
      <c r="AK63" s="667"/>
    </row>
    <row r="64" spans="1:37" s="378" customFormat="1">
      <c r="A64" s="668"/>
      <c r="B64" s="269" t="s">
        <v>899</v>
      </c>
      <c r="C64" s="667">
        <v>8094624</v>
      </c>
      <c r="D64" s="667" t="s">
        <v>1344</v>
      </c>
      <c r="E64" s="649" t="s">
        <v>1346</v>
      </c>
      <c r="F64" s="667">
        <v>13611412</v>
      </c>
      <c r="G64" s="270" t="s">
        <v>302</v>
      </c>
      <c r="H64" s="667"/>
      <c r="I64" s="667"/>
      <c r="J64" s="667"/>
      <c r="K64" s="667"/>
      <c r="L64" s="270" t="s">
        <v>89</v>
      </c>
      <c r="M64" s="667">
        <v>358816</v>
      </c>
      <c r="N64" s="336"/>
      <c r="O64" s="667" t="s">
        <v>1347</v>
      </c>
      <c r="P64" s="290" t="s">
        <v>1286</v>
      </c>
      <c r="Q64" s="667"/>
      <c r="R64" s="670"/>
      <c r="S64" s="274" t="e">
        <f t="shared" si="20"/>
        <v>#DIV/0!</v>
      </c>
      <c r="T64" s="670"/>
      <c r="U64" s="688"/>
      <c r="V64" s="671"/>
      <c r="W64" s="670"/>
      <c r="X64" s="667"/>
      <c r="Y64" s="667"/>
      <c r="Z64" s="667"/>
      <c r="AA64" s="667"/>
      <c r="AB64" s="280">
        <f t="shared" si="15"/>
        <v>0</v>
      </c>
      <c r="AC64" s="280">
        <f t="shared" si="12"/>
        <v>0</v>
      </c>
      <c r="AD64" s="689"/>
      <c r="AE64" s="672"/>
      <c r="AF64" s="667"/>
      <c r="AG64" s="667"/>
      <c r="AH64" s="690"/>
      <c r="AI64" s="673"/>
      <c r="AJ64" s="667"/>
      <c r="AK64" s="667"/>
    </row>
    <row r="65" spans="1:37" s="378" customFormat="1">
      <c r="A65" s="668"/>
      <c r="B65" s="667" t="s">
        <v>1350</v>
      </c>
      <c r="C65" s="667"/>
      <c r="D65" s="667" t="s">
        <v>1348</v>
      </c>
      <c r="E65" s="649" t="s">
        <v>1349</v>
      </c>
      <c r="F65" s="667">
        <v>13690868</v>
      </c>
      <c r="G65" s="270"/>
      <c r="H65" s="667"/>
      <c r="I65" s="667"/>
      <c r="J65" s="667"/>
      <c r="K65" s="667"/>
      <c r="L65" s="270"/>
      <c r="M65" s="667"/>
      <c r="N65" s="336" t="s">
        <v>804</v>
      </c>
      <c r="O65" s="667"/>
      <c r="P65" s="700"/>
      <c r="Q65" s="667"/>
      <c r="R65" s="670"/>
      <c r="S65" s="274" t="e">
        <f t="shared" si="20"/>
        <v>#DIV/0!</v>
      </c>
      <c r="T65" s="670"/>
      <c r="U65" s="688"/>
      <c r="V65" s="671">
        <v>1500000</v>
      </c>
      <c r="W65" s="670"/>
      <c r="X65" s="667"/>
      <c r="Y65" s="667" t="s">
        <v>806</v>
      </c>
      <c r="Z65" s="667"/>
      <c r="AA65" s="667"/>
      <c r="AB65" s="280">
        <f>W65*2.2%</f>
        <v>0</v>
      </c>
      <c r="AC65" s="280">
        <f t="shared" si="12"/>
        <v>0</v>
      </c>
      <c r="AD65" s="689">
        <f>SUM(AC63:AC65)</f>
        <v>0</v>
      </c>
      <c r="AE65" s="672" t="s">
        <v>775</v>
      </c>
      <c r="AF65" s="667" t="s">
        <v>775</v>
      </c>
      <c r="AG65" s="667"/>
      <c r="AH65" s="690"/>
      <c r="AI65" s="673"/>
      <c r="AJ65" s="667"/>
      <c r="AK65" s="667"/>
    </row>
    <row r="66" spans="1:37" s="36" customFormat="1">
      <c r="A66" s="718">
        <v>46283</v>
      </c>
      <c r="B66" s="667" t="s">
        <v>1357</v>
      </c>
      <c r="C66" s="667">
        <v>8094574</v>
      </c>
      <c r="D66" s="667" t="s">
        <v>1358</v>
      </c>
      <c r="E66" s="649" t="s">
        <v>1359</v>
      </c>
      <c r="F66" s="667">
        <v>13580951</v>
      </c>
      <c r="G66" s="270" t="s">
        <v>302</v>
      </c>
      <c r="H66" s="667"/>
      <c r="I66" s="667">
        <v>1</v>
      </c>
      <c r="J66" s="667"/>
      <c r="K66" s="667">
        <v>1</v>
      </c>
      <c r="L66" s="270" t="s">
        <v>92</v>
      </c>
      <c r="M66" s="667" t="s">
        <v>1360</v>
      </c>
      <c r="N66" s="336" t="s">
        <v>1360</v>
      </c>
      <c r="O66" s="667" t="s">
        <v>1361</v>
      </c>
      <c r="P66" s="290" t="s">
        <v>1286</v>
      </c>
      <c r="Q66" s="667">
        <v>1</v>
      </c>
      <c r="R66" s="670">
        <v>3100000</v>
      </c>
      <c r="S66" s="238">
        <f t="shared" si="20"/>
        <v>0</v>
      </c>
      <c r="T66" s="670">
        <f>R66</f>
        <v>3100000</v>
      </c>
      <c r="U66" s="688" t="s">
        <v>1362</v>
      </c>
      <c r="V66" s="671">
        <v>1550000</v>
      </c>
      <c r="W66" s="670"/>
      <c r="X66" s="667"/>
      <c r="Y66" s="667" t="s">
        <v>806</v>
      </c>
      <c r="Z66" s="667"/>
      <c r="AA66" s="667"/>
      <c r="AB66" s="247">
        <f t="shared" ref="AB66" si="30">W66*2.2%</f>
        <v>0</v>
      </c>
      <c r="AC66" s="247">
        <f t="shared" si="12"/>
        <v>2792792.7927927924</v>
      </c>
      <c r="AD66" s="689"/>
      <c r="AE66" s="672" t="s">
        <v>775</v>
      </c>
      <c r="AF66" s="667" t="s">
        <v>775</v>
      </c>
      <c r="AG66" s="667" t="s">
        <v>775</v>
      </c>
      <c r="AH66" s="690" t="s">
        <v>1363</v>
      </c>
      <c r="AI66" s="673"/>
      <c r="AJ66" s="667"/>
      <c r="AK66" s="667" t="s">
        <v>1364</v>
      </c>
    </row>
    <row r="67" spans="1:37" s="36" customFormat="1">
      <c r="A67" s="718"/>
      <c r="B67" s="804"/>
      <c r="C67" s="667"/>
      <c r="D67" s="667"/>
      <c r="E67" s="649"/>
      <c r="F67" s="667"/>
      <c r="G67" s="270"/>
      <c r="H67" s="667"/>
      <c r="I67" s="667"/>
      <c r="J67" s="667"/>
      <c r="K67" s="667"/>
      <c r="L67" s="270"/>
      <c r="M67" s="662"/>
      <c r="N67" s="335"/>
      <c r="O67" s="310"/>
      <c r="P67" s="557"/>
      <c r="Q67" s="667"/>
      <c r="R67" s="670"/>
      <c r="S67" s="238" t="e">
        <f t="shared" si="20"/>
        <v>#DIV/0!</v>
      </c>
      <c r="T67" s="670"/>
      <c r="U67" s="688"/>
      <c r="V67" s="671"/>
      <c r="W67" s="670"/>
      <c r="X67" s="667"/>
      <c r="Y67" s="667"/>
      <c r="Z67" s="667"/>
      <c r="AA67" s="667"/>
      <c r="AB67" s="247">
        <f>W67*0.15%</f>
        <v>0</v>
      </c>
      <c r="AC67" s="247">
        <f t="shared" si="12"/>
        <v>0</v>
      </c>
      <c r="AD67" s="689">
        <f>SUM(AC66:AC67)</f>
        <v>2792792.7927927924</v>
      </c>
      <c r="AE67" s="672"/>
      <c r="AF67" s="667"/>
      <c r="AG67" s="667"/>
      <c r="AH67" s="667">
        <v>807612</v>
      </c>
      <c r="AI67" s="673"/>
      <c r="AJ67" s="667"/>
      <c r="AK67" s="667"/>
    </row>
    <row r="68" spans="1:37" s="36" customFormat="1">
      <c r="A68" s="718">
        <v>46284</v>
      </c>
      <c r="B68" s="686" t="s">
        <v>899</v>
      </c>
      <c r="C68" s="667">
        <v>8094616</v>
      </c>
      <c r="D68" s="667" t="s">
        <v>1398</v>
      </c>
      <c r="E68" s="649" t="s">
        <v>1399</v>
      </c>
      <c r="F68" s="667">
        <v>13114231</v>
      </c>
      <c r="G68" s="270" t="s">
        <v>302</v>
      </c>
      <c r="H68" s="667"/>
      <c r="I68" s="667">
        <v>1</v>
      </c>
      <c r="J68" s="667"/>
      <c r="K68" s="667">
        <v>1</v>
      </c>
      <c r="L68" s="270" t="s">
        <v>89</v>
      </c>
      <c r="M68" s="667">
        <v>360310</v>
      </c>
      <c r="N68" s="284" t="s">
        <v>1400</v>
      </c>
      <c r="O68" s="310" t="s">
        <v>1401</v>
      </c>
      <c r="P68" s="290" t="s">
        <v>1286</v>
      </c>
      <c r="Q68" s="667"/>
      <c r="R68" s="670"/>
      <c r="S68" s="238" t="e">
        <f t="shared" si="20"/>
        <v>#DIV/0!</v>
      </c>
      <c r="T68" s="670"/>
      <c r="U68" s="688"/>
      <c r="V68" s="671"/>
      <c r="W68" s="670"/>
      <c r="X68" s="667"/>
      <c r="Y68" s="667"/>
      <c r="Z68" s="667"/>
      <c r="AA68" s="667"/>
      <c r="AB68" s="247">
        <f>W68*0.15%</f>
        <v>0</v>
      </c>
      <c r="AC68" s="247">
        <f t="shared" si="12"/>
        <v>0</v>
      </c>
      <c r="AD68" s="689"/>
      <c r="AE68" s="672" t="s">
        <v>768</v>
      </c>
      <c r="AF68" s="667" t="s">
        <v>768</v>
      </c>
      <c r="AG68" s="667" t="s">
        <v>768</v>
      </c>
      <c r="AH68" s="667"/>
      <c r="AI68" s="673"/>
      <c r="AJ68" s="667"/>
      <c r="AK68" s="667"/>
    </row>
    <row r="69" spans="1:37" s="36" customFormat="1">
      <c r="A69" s="718"/>
      <c r="B69" s="686" t="s">
        <v>899</v>
      </c>
      <c r="C69" s="667">
        <v>8094598</v>
      </c>
      <c r="D69" s="667" t="s">
        <v>1408</v>
      </c>
      <c r="E69" s="649" t="s">
        <v>1407</v>
      </c>
      <c r="F69" s="667">
        <v>13239795</v>
      </c>
      <c r="G69" s="270" t="s">
        <v>302</v>
      </c>
      <c r="H69" s="667"/>
      <c r="I69" s="667">
        <v>1</v>
      </c>
      <c r="J69" s="667"/>
      <c r="K69" s="667">
        <v>1</v>
      </c>
      <c r="L69" s="270" t="s">
        <v>89</v>
      </c>
      <c r="M69" s="667">
        <v>336035</v>
      </c>
      <c r="N69" s="667" t="s">
        <v>1410</v>
      </c>
      <c r="O69" s="667" t="s">
        <v>1411</v>
      </c>
      <c r="P69" s="290" t="s">
        <v>909</v>
      </c>
      <c r="Q69" s="667"/>
      <c r="R69" s="670"/>
      <c r="S69" s="238" t="e">
        <f t="shared" si="20"/>
        <v>#DIV/0!</v>
      </c>
      <c r="T69" s="670"/>
      <c r="U69" s="688"/>
      <c r="V69" s="671"/>
      <c r="W69" s="670"/>
      <c r="X69" s="667"/>
      <c r="Y69" s="667"/>
      <c r="Z69" s="667"/>
      <c r="AA69" s="667"/>
      <c r="AB69" s="247">
        <f>W69*1.25%</f>
        <v>0</v>
      </c>
      <c r="AC69" s="247">
        <f t="shared" si="12"/>
        <v>0</v>
      </c>
      <c r="AD69" s="689"/>
      <c r="AE69" s="672" t="s">
        <v>796</v>
      </c>
      <c r="AF69" s="667" t="s">
        <v>796</v>
      </c>
      <c r="AG69" s="667" t="s">
        <v>796</v>
      </c>
      <c r="AH69" s="667">
        <v>806855</v>
      </c>
      <c r="AI69" s="673"/>
      <c r="AJ69" s="667"/>
      <c r="AK69" s="667" t="s">
        <v>1406</v>
      </c>
    </row>
    <row r="70" spans="1:37" s="36" customFormat="1">
      <c r="A70" s="661"/>
      <c r="B70" s="686" t="s">
        <v>899</v>
      </c>
      <c r="C70" s="667">
        <v>8094599</v>
      </c>
      <c r="D70" s="667" t="s">
        <v>1409</v>
      </c>
      <c r="E70" s="649" t="s">
        <v>1407</v>
      </c>
      <c r="F70" s="667">
        <v>13239795</v>
      </c>
      <c r="G70" s="270"/>
      <c r="H70" s="667"/>
      <c r="I70" s="667"/>
      <c r="J70" s="667"/>
      <c r="K70" s="667"/>
      <c r="L70" s="270" t="s">
        <v>89</v>
      </c>
      <c r="M70" s="667">
        <v>336027</v>
      </c>
      <c r="N70" s="667" t="s">
        <v>1410</v>
      </c>
      <c r="O70" s="667" t="s">
        <v>1412</v>
      </c>
      <c r="P70" s="290" t="s">
        <v>909</v>
      </c>
      <c r="Q70" s="667"/>
      <c r="R70" s="670"/>
      <c r="S70" s="238" t="e">
        <f t="shared" si="20"/>
        <v>#DIV/0!</v>
      </c>
      <c r="T70" s="670"/>
      <c r="U70" s="688"/>
      <c r="V70" s="671"/>
      <c r="W70" s="670"/>
      <c r="X70" s="667"/>
      <c r="Y70" s="667"/>
      <c r="Z70" s="667"/>
      <c r="AA70" s="667"/>
      <c r="AB70" s="247">
        <f>W70*0.15%</f>
        <v>0</v>
      </c>
      <c r="AC70" s="247">
        <f t="shared" si="12"/>
        <v>0</v>
      </c>
      <c r="AD70" s="689"/>
      <c r="AE70" s="672"/>
      <c r="AF70" s="667"/>
      <c r="AG70" s="667"/>
      <c r="AH70" s="667"/>
      <c r="AI70" s="673"/>
      <c r="AJ70" s="667"/>
      <c r="AK70" s="667"/>
    </row>
    <row r="71" spans="1:37" s="36" customFormat="1">
      <c r="A71" s="718"/>
      <c r="B71" s="667" t="s">
        <v>1414</v>
      </c>
      <c r="C71" s="667"/>
      <c r="D71" s="667" t="s">
        <v>1415</v>
      </c>
      <c r="E71" s="649" t="s">
        <v>1416</v>
      </c>
      <c r="F71" s="667"/>
      <c r="G71" s="270" t="s">
        <v>302</v>
      </c>
      <c r="H71" s="667"/>
      <c r="I71" s="667"/>
      <c r="J71" s="667"/>
      <c r="K71" s="667"/>
      <c r="L71" s="685"/>
      <c r="M71" s="667"/>
      <c r="N71" s="336" t="s">
        <v>804</v>
      </c>
      <c r="O71" s="667"/>
      <c r="P71" s="557" t="s">
        <v>1417</v>
      </c>
      <c r="Q71" s="667"/>
      <c r="R71" s="670"/>
      <c r="S71" s="238" t="e">
        <f t="shared" si="20"/>
        <v>#DIV/0!</v>
      </c>
      <c r="T71" s="670"/>
      <c r="U71" s="688"/>
      <c r="V71" s="671">
        <v>2400000</v>
      </c>
      <c r="W71" s="670"/>
      <c r="X71" s="667"/>
      <c r="Y71" s="667" t="s">
        <v>806</v>
      </c>
      <c r="Z71" s="667"/>
      <c r="AA71" s="667"/>
      <c r="AB71" s="247">
        <f t="shared" si="15"/>
        <v>0</v>
      </c>
      <c r="AC71" s="247">
        <f t="shared" si="12"/>
        <v>0</v>
      </c>
      <c r="AD71" s="689">
        <f>SUM(AC68:AC71)</f>
        <v>0</v>
      </c>
      <c r="AE71" s="672" t="s">
        <v>781</v>
      </c>
      <c r="AF71" s="667" t="s">
        <v>781</v>
      </c>
      <c r="AG71" s="667"/>
      <c r="AH71" s="667"/>
      <c r="AI71" s="673"/>
      <c r="AJ71" s="667"/>
      <c r="AK71" s="667"/>
    </row>
    <row r="72" spans="1:37" s="36" customFormat="1">
      <c r="A72" s="718">
        <v>46285</v>
      </c>
      <c r="B72" s="667" t="s">
        <v>1418</v>
      </c>
      <c r="C72" s="667">
        <v>8094635</v>
      </c>
      <c r="D72" s="667" t="s">
        <v>1420</v>
      </c>
      <c r="E72" s="649" t="s">
        <v>1421</v>
      </c>
      <c r="F72" s="667"/>
      <c r="G72" s="270" t="s">
        <v>302</v>
      </c>
      <c r="H72" s="667"/>
      <c r="I72" s="667">
        <v>1</v>
      </c>
      <c r="J72" s="667"/>
      <c r="K72" s="667">
        <v>1</v>
      </c>
      <c r="L72" s="270" t="s">
        <v>92</v>
      </c>
      <c r="M72" s="667" t="s">
        <v>1360</v>
      </c>
      <c r="N72" s="667" t="s">
        <v>1422</v>
      </c>
      <c r="O72" s="667" t="s">
        <v>1423</v>
      </c>
      <c r="P72" s="700" t="s">
        <v>1056</v>
      </c>
      <c r="Q72" s="667">
        <v>1</v>
      </c>
      <c r="R72" s="670">
        <v>350000</v>
      </c>
      <c r="S72" s="238">
        <f t="shared" si="20"/>
        <v>0</v>
      </c>
      <c r="T72" s="670">
        <f>R72</f>
        <v>350000</v>
      </c>
      <c r="U72" s="688"/>
      <c r="V72" s="671"/>
      <c r="W72" s="670">
        <f>T72</f>
        <v>350000</v>
      </c>
      <c r="X72" s="667"/>
      <c r="Y72" s="667"/>
      <c r="Z72" s="667" t="s">
        <v>1134</v>
      </c>
      <c r="AA72" s="667" t="s">
        <v>1424</v>
      </c>
      <c r="AB72" s="247">
        <f>W72*0.15%</f>
        <v>525</v>
      </c>
      <c r="AC72" s="247">
        <f t="shared" si="12"/>
        <v>315315.31531531527</v>
      </c>
      <c r="AD72" s="689"/>
      <c r="AE72" s="672" t="s">
        <v>786</v>
      </c>
      <c r="AF72" s="667" t="s">
        <v>778</v>
      </c>
      <c r="AG72" s="667" t="s">
        <v>778</v>
      </c>
      <c r="AH72" s="667">
        <v>807616</v>
      </c>
      <c r="AI72" s="673"/>
      <c r="AJ72" s="667"/>
      <c r="AK72" s="667" t="s">
        <v>1425</v>
      </c>
    </row>
    <row r="73" spans="1:37" s="36" customFormat="1">
      <c r="A73" s="718"/>
      <c r="B73" s="667"/>
      <c r="C73" s="667"/>
      <c r="D73" s="667"/>
      <c r="E73" s="649"/>
      <c r="F73" s="746"/>
      <c r="G73" s="270"/>
      <c r="H73" s="667"/>
      <c r="I73" s="667"/>
      <c r="J73" s="667"/>
      <c r="K73" s="667"/>
      <c r="L73" s="270"/>
      <c r="M73" s="667"/>
      <c r="N73" s="667"/>
      <c r="O73" s="667"/>
      <c r="P73" s="669"/>
      <c r="Q73" s="667"/>
      <c r="R73" s="670"/>
      <c r="S73" s="238" t="e">
        <f t="shared" ref="S73" si="31">(R73-T73)/R73*100</f>
        <v>#DIV/0!</v>
      </c>
      <c r="T73" s="670"/>
      <c r="U73" s="688"/>
      <c r="V73" s="671"/>
      <c r="W73" s="670"/>
      <c r="X73" s="667"/>
      <c r="Y73" s="667"/>
      <c r="Z73" s="667"/>
      <c r="AA73" s="667"/>
      <c r="AB73" s="247">
        <f>W73*1.25%</f>
        <v>0</v>
      </c>
      <c r="AC73" s="247">
        <f t="shared" si="12"/>
        <v>0</v>
      </c>
      <c r="AD73" s="707"/>
      <c r="AE73" s="672"/>
      <c r="AF73" s="667"/>
      <c r="AG73" s="667"/>
      <c r="AH73" s="667">
        <v>806855</v>
      </c>
      <c r="AI73" s="673"/>
      <c r="AJ73" s="667"/>
      <c r="AK73" s="667"/>
    </row>
    <row r="74" spans="1:37" s="36" customFormat="1">
      <c r="A74" s="718"/>
      <c r="B74" s="667" t="s">
        <v>1419</v>
      </c>
      <c r="C74" s="667"/>
      <c r="D74" s="667" t="s">
        <v>1426</v>
      </c>
      <c r="E74" s="649" t="s">
        <v>1427</v>
      </c>
      <c r="F74" s="667"/>
      <c r="G74" s="667"/>
      <c r="H74" s="667"/>
      <c r="I74" s="667"/>
      <c r="J74" s="667"/>
      <c r="K74" s="667"/>
      <c r="L74" s="685"/>
      <c r="M74" s="667"/>
      <c r="N74" s="686" t="s">
        <v>804</v>
      </c>
      <c r="O74" s="667"/>
      <c r="P74" s="700" t="s">
        <v>1428</v>
      </c>
      <c r="Q74" s="667"/>
      <c r="R74" s="670"/>
      <c r="S74" s="238" t="e">
        <f t="shared" si="20"/>
        <v>#DIV/0!</v>
      </c>
      <c r="T74" s="670"/>
      <c r="U74" s="688"/>
      <c r="V74" s="671"/>
      <c r="W74" s="670">
        <v>3650000</v>
      </c>
      <c r="X74" s="667"/>
      <c r="Y74" s="667"/>
      <c r="Z74" s="667" t="s">
        <v>806</v>
      </c>
      <c r="AA74" s="667" t="s">
        <v>1249</v>
      </c>
      <c r="AB74" s="247">
        <f>W74*1.3%</f>
        <v>47450.000000000007</v>
      </c>
      <c r="AC74" s="247">
        <f t="shared" si="12"/>
        <v>0</v>
      </c>
      <c r="AD74" s="689">
        <f>AC72</f>
        <v>315315.31531531527</v>
      </c>
      <c r="AE74" s="672" t="s">
        <v>781</v>
      </c>
      <c r="AF74" s="667" t="s">
        <v>781</v>
      </c>
      <c r="AG74" s="667"/>
      <c r="AH74" s="667"/>
      <c r="AI74" s="673"/>
      <c r="AJ74" s="667"/>
      <c r="AK74" s="667"/>
    </row>
    <row r="75" spans="1:37" s="36" customFormat="1">
      <c r="A75" s="718"/>
      <c r="B75" s="269"/>
      <c r="C75" s="667"/>
      <c r="D75" s="667"/>
      <c r="E75" s="649"/>
      <c r="F75" s="667"/>
      <c r="G75" s="270"/>
      <c r="H75" s="667"/>
      <c r="I75" s="667"/>
      <c r="J75" s="667"/>
      <c r="K75" s="667"/>
      <c r="L75" s="685"/>
      <c r="M75" s="667"/>
      <c r="N75" s="667"/>
      <c r="O75" s="667"/>
      <c r="P75" s="669"/>
      <c r="Q75" s="667"/>
      <c r="R75" s="670"/>
      <c r="S75" s="238" t="e">
        <f t="shared" si="20"/>
        <v>#DIV/0!</v>
      </c>
      <c r="T75" s="670"/>
      <c r="U75" s="688"/>
      <c r="V75" s="671"/>
      <c r="W75" s="670"/>
      <c r="X75" s="667"/>
      <c r="Y75" s="667"/>
      <c r="Z75" s="667"/>
      <c r="AA75" s="667"/>
      <c r="AB75" s="247">
        <f t="shared" si="15"/>
        <v>0</v>
      </c>
      <c r="AC75" s="247">
        <f t="shared" si="12"/>
        <v>0</v>
      </c>
      <c r="AD75" s="689"/>
      <c r="AE75" s="672"/>
      <c r="AF75" s="667"/>
      <c r="AG75" s="667"/>
      <c r="AH75" s="667"/>
      <c r="AI75" s="673"/>
      <c r="AJ75" s="667"/>
      <c r="AK75" s="667"/>
    </row>
    <row r="76" spans="1:37" s="36" customFormat="1">
      <c r="A76" s="718"/>
      <c r="B76" s="270"/>
      <c r="C76" s="667"/>
      <c r="D76" s="667"/>
      <c r="E76" s="649"/>
      <c r="F76" s="667"/>
      <c r="G76" s="270"/>
      <c r="H76" s="667"/>
      <c r="I76" s="667"/>
      <c r="J76" s="667"/>
      <c r="K76" s="667"/>
      <c r="L76" s="685"/>
      <c r="M76" s="667"/>
      <c r="N76" s="686"/>
      <c r="O76" s="667"/>
      <c r="P76" s="700"/>
      <c r="Q76" s="667"/>
      <c r="R76" s="670"/>
      <c r="S76" s="238" t="e">
        <f t="shared" si="20"/>
        <v>#DIV/0!</v>
      </c>
      <c r="T76" s="670"/>
      <c r="U76" s="688"/>
      <c r="V76" s="671"/>
      <c r="W76" s="670"/>
      <c r="X76" s="667"/>
      <c r="Y76" s="667"/>
      <c r="Z76" s="667"/>
      <c r="AA76" s="667"/>
      <c r="AB76" s="247">
        <f t="shared" si="15"/>
        <v>0</v>
      </c>
      <c r="AC76" s="247">
        <f t="shared" si="12"/>
        <v>0</v>
      </c>
      <c r="AD76" s="689"/>
      <c r="AE76" s="672"/>
      <c r="AF76" s="667"/>
      <c r="AG76" s="667"/>
      <c r="AH76" s="667"/>
      <c r="AI76" s="673"/>
      <c r="AJ76" s="667"/>
      <c r="AK76" s="667"/>
    </row>
    <row r="77" spans="1:37" s="36" customFormat="1">
      <c r="A77" s="668"/>
      <c r="B77" s="667"/>
      <c r="C77" s="667"/>
      <c r="D77" s="667"/>
      <c r="E77" s="649"/>
      <c r="F77" s="746"/>
      <c r="G77" s="270"/>
      <c r="H77" s="667"/>
      <c r="I77" s="667"/>
      <c r="J77" s="667"/>
      <c r="K77" s="667"/>
      <c r="L77" s="270"/>
      <c r="M77" s="667"/>
      <c r="N77" s="667"/>
      <c r="O77" s="667"/>
      <c r="P77" s="649"/>
      <c r="Q77" s="667"/>
      <c r="R77" s="670"/>
      <c r="S77" s="238" t="e">
        <f t="shared" si="20"/>
        <v>#DIV/0!</v>
      </c>
      <c r="T77" s="670"/>
      <c r="U77" s="688"/>
      <c r="V77" s="671"/>
      <c r="W77" s="670"/>
      <c r="X77" s="667"/>
      <c r="Y77" s="667"/>
      <c r="Z77" s="667"/>
      <c r="AA77" s="667"/>
      <c r="AB77" s="247">
        <f t="shared" si="15"/>
        <v>0</v>
      </c>
      <c r="AC77" s="247">
        <f t="shared" si="12"/>
        <v>0</v>
      </c>
      <c r="AD77" s="689"/>
      <c r="AE77" s="672"/>
      <c r="AF77" s="667"/>
      <c r="AG77" s="667"/>
      <c r="AH77" s="667"/>
      <c r="AI77" s="673"/>
      <c r="AJ77" s="667"/>
      <c r="AK77" s="667"/>
    </row>
    <row r="78" spans="1:37" s="36" customFormat="1">
      <c r="A78" s="668"/>
      <c r="B78" s="667"/>
      <c r="C78" s="667"/>
      <c r="D78" s="667"/>
      <c r="E78" s="649"/>
      <c r="F78" s="667"/>
      <c r="G78" s="270"/>
      <c r="H78" s="667"/>
      <c r="I78" s="667"/>
      <c r="J78" s="667"/>
      <c r="K78" s="667"/>
      <c r="L78" s="685"/>
      <c r="M78" s="667"/>
      <c r="N78" s="686"/>
      <c r="O78" s="667"/>
      <c r="P78" s="700"/>
      <c r="Q78" s="667"/>
      <c r="R78" s="670"/>
      <c r="S78" s="238" t="e">
        <f t="shared" si="20"/>
        <v>#DIV/0!</v>
      </c>
      <c r="T78" s="670"/>
      <c r="U78" s="688"/>
      <c r="V78" s="671"/>
      <c r="W78" s="670"/>
      <c r="X78" s="667"/>
      <c r="Y78" s="667"/>
      <c r="Z78" s="667"/>
      <c r="AA78" s="667"/>
      <c r="AB78" s="247">
        <f t="shared" si="15"/>
        <v>0</v>
      </c>
      <c r="AC78" s="247">
        <f t="shared" si="12"/>
        <v>0</v>
      </c>
      <c r="AD78" s="689"/>
      <c r="AE78" s="672"/>
      <c r="AF78" s="667"/>
      <c r="AG78" s="667"/>
      <c r="AH78" s="690"/>
      <c r="AI78" s="673"/>
      <c r="AJ78" s="667"/>
      <c r="AK78" s="667"/>
    </row>
    <row r="79" spans="1:37" s="36" customFormat="1">
      <c r="A79" s="668"/>
      <c r="B79" s="667"/>
      <c r="C79" s="667"/>
      <c r="D79" s="667"/>
      <c r="E79" s="649"/>
      <c r="F79" s="667"/>
      <c r="G79" s="270"/>
      <c r="H79" s="667"/>
      <c r="I79" s="667"/>
      <c r="J79" s="667"/>
      <c r="K79" s="667"/>
      <c r="L79" s="685"/>
      <c r="M79" s="667"/>
      <c r="N79" s="686"/>
      <c r="O79" s="667"/>
      <c r="P79" s="700"/>
      <c r="Q79" s="667"/>
      <c r="R79" s="670"/>
      <c r="S79" s="238" t="e">
        <f t="shared" si="20"/>
        <v>#DIV/0!</v>
      </c>
      <c r="T79" s="670"/>
      <c r="U79" s="688"/>
      <c r="V79" s="671"/>
      <c r="W79" s="670"/>
      <c r="X79" s="667"/>
      <c r="Y79" s="667"/>
      <c r="Z79" s="667"/>
      <c r="AA79" s="667"/>
      <c r="AB79" s="247">
        <f t="shared" si="15"/>
        <v>0</v>
      </c>
      <c r="AC79" s="247">
        <f t="shared" si="12"/>
        <v>0</v>
      </c>
      <c r="AD79" s="689"/>
      <c r="AE79" s="667"/>
      <c r="AF79" s="667"/>
      <c r="AG79" s="667"/>
      <c r="AH79" s="667"/>
      <c r="AI79" s="673"/>
      <c r="AJ79" s="667"/>
      <c r="AK79" s="667"/>
    </row>
    <row r="80" spans="1:37" s="36" customFormat="1">
      <c r="A80" s="718"/>
      <c r="B80" s="667"/>
      <c r="C80" s="667"/>
      <c r="D80" s="667"/>
      <c r="E80" s="649"/>
      <c r="F80" s="667"/>
      <c r="G80" s="270"/>
      <c r="H80" s="667"/>
      <c r="I80" s="667"/>
      <c r="J80" s="667"/>
      <c r="K80" s="667"/>
      <c r="L80" s="270"/>
      <c r="M80" s="662"/>
      <c r="N80" s="667"/>
      <c r="O80" s="667"/>
      <c r="P80" s="669"/>
      <c r="Q80" s="667"/>
      <c r="R80" s="670"/>
      <c r="S80" s="238" t="e">
        <f t="shared" si="20"/>
        <v>#DIV/0!</v>
      </c>
      <c r="T80" s="670"/>
      <c r="U80" s="688"/>
      <c r="V80" s="671"/>
      <c r="W80" s="670"/>
      <c r="X80" s="667"/>
      <c r="Y80" s="667"/>
      <c r="Z80" s="667"/>
      <c r="AA80" s="667"/>
      <c r="AB80" s="247">
        <f>W80*1.3%</f>
        <v>0</v>
      </c>
      <c r="AC80" s="247">
        <f t="shared" si="12"/>
        <v>0</v>
      </c>
      <c r="AD80" s="689"/>
      <c r="AE80" s="672"/>
      <c r="AF80" s="667"/>
      <c r="AG80" s="667"/>
      <c r="AH80" s="667"/>
      <c r="AI80" s="673"/>
      <c r="AJ80" s="667"/>
      <c r="AK80" s="667"/>
    </row>
    <row r="81" spans="1:37" s="36" customFormat="1">
      <c r="A81" s="668"/>
      <c r="B81" s="686"/>
      <c r="C81" s="667"/>
      <c r="D81" s="667"/>
      <c r="E81" s="649"/>
      <c r="F81" s="667"/>
      <c r="G81" s="667"/>
      <c r="H81" s="667"/>
      <c r="I81" s="667"/>
      <c r="J81" s="667"/>
      <c r="K81" s="667"/>
      <c r="L81" s="685"/>
      <c r="M81" s="667"/>
      <c r="N81" s="667"/>
      <c r="O81" s="667"/>
      <c r="P81" s="669"/>
      <c r="Q81" s="667"/>
      <c r="R81" s="670"/>
      <c r="S81" s="238" t="e">
        <f t="shared" si="20"/>
        <v>#DIV/0!</v>
      </c>
      <c r="T81" s="670"/>
      <c r="U81" s="688"/>
      <c r="V81" s="671"/>
      <c r="W81" s="670"/>
      <c r="X81" s="667"/>
      <c r="Y81" s="667"/>
      <c r="Z81" s="667"/>
      <c r="AA81" s="667"/>
      <c r="AB81" s="247">
        <f t="shared" si="15"/>
        <v>0</v>
      </c>
      <c r="AC81" s="247">
        <f t="shared" si="12"/>
        <v>0</v>
      </c>
      <c r="AD81" s="689"/>
      <c r="AE81" s="672"/>
      <c r="AF81" s="667"/>
      <c r="AG81" s="667"/>
      <c r="AH81" s="667"/>
      <c r="AI81" s="673"/>
      <c r="AJ81" s="667"/>
      <c r="AK81" s="667"/>
    </row>
    <row r="82" spans="1:37" s="36" customFormat="1">
      <c r="A82" s="661"/>
      <c r="B82" s="667"/>
      <c r="C82" s="667"/>
      <c r="D82" s="667"/>
      <c r="E82" s="649"/>
      <c r="F82" s="667"/>
      <c r="G82" s="270"/>
      <c r="H82" s="667"/>
      <c r="I82" s="667"/>
      <c r="J82" s="667"/>
      <c r="K82" s="667"/>
      <c r="L82" s="685"/>
      <c r="M82" s="686"/>
      <c r="N82" s="667"/>
      <c r="O82" s="667"/>
      <c r="P82" s="700"/>
      <c r="Q82" s="667"/>
      <c r="R82" s="670"/>
      <c r="S82" s="238" t="e">
        <f t="shared" si="20"/>
        <v>#DIV/0!</v>
      </c>
      <c r="T82" s="670"/>
      <c r="U82" s="688"/>
      <c r="V82" s="671"/>
      <c r="W82" s="670"/>
      <c r="X82" s="667"/>
      <c r="Y82" s="667"/>
      <c r="Z82" s="667"/>
      <c r="AA82" s="667"/>
      <c r="AB82" s="247">
        <f t="shared" si="15"/>
        <v>0</v>
      </c>
      <c r="AC82" s="247">
        <f t="shared" si="12"/>
        <v>0</v>
      </c>
      <c r="AD82" s="707"/>
      <c r="AE82" s="672"/>
      <c r="AF82" s="667"/>
      <c r="AG82" s="667"/>
      <c r="AH82" s="690"/>
      <c r="AI82" s="673"/>
      <c r="AJ82" s="667"/>
      <c r="AK82" s="667"/>
    </row>
    <row r="83" spans="1:37" s="36" customFormat="1">
      <c r="A83" s="668"/>
      <c r="B83" s="686"/>
      <c r="C83" s="667"/>
      <c r="D83" s="667"/>
      <c r="E83" s="649"/>
      <c r="F83" s="667"/>
      <c r="G83" s="667"/>
      <c r="H83" s="667"/>
      <c r="I83" s="667"/>
      <c r="J83" s="667"/>
      <c r="K83" s="667"/>
      <c r="L83" s="685"/>
      <c r="M83" s="667"/>
      <c r="N83" s="667"/>
      <c r="O83" s="667"/>
      <c r="P83" s="669"/>
      <c r="Q83" s="667"/>
      <c r="R83" s="670"/>
      <c r="S83" s="238" t="e">
        <f t="shared" si="20"/>
        <v>#DIV/0!</v>
      </c>
      <c r="T83" s="670"/>
      <c r="U83" s="688"/>
      <c r="V83" s="671"/>
      <c r="W83" s="670"/>
      <c r="X83" s="667"/>
      <c r="Y83" s="667"/>
      <c r="Z83" s="667"/>
      <c r="AA83" s="667"/>
      <c r="AB83" s="247">
        <f t="shared" si="15"/>
        <v>0</v>
      </c>
      <c r="AC83" s="247">
        <f t="shared" si="12"/>
        <v>0</v>
      </c>
      <c r="AD83" s="707"/>
      <c r="AE83" s="672"/>
      <c r="AF83" s="667"/>
      <c r="AG83" s="667"/>
      <c r="AH83" s="690"/>
      <c r="AI83" s="673"/>
      <c r="AJ83" s="667"/>
      <c r="AK83" s="667"/>
    </row>
    <row r="84" spans="1:37" s="36" customFormat="1">
      <c r="A84" s="668"/>
      <c r="B84" s="667"/>
      <c r="C84" s="667"/>
      <c r="D84" s="667"/>
      <c r="E84" s="649"/>
      <c r="F84" s="667"/>
      <c r="G84" s="270"/>
      <c r="H84" s="667"/>
      <c r="I84" s="667"/>
      <c r="J84" s="667"/>
      <c r="K84" s="667"/>
      <c r="L84" s="685"/>
      <c r="M84" s="686"/>
      <c r="N84" s="667"/>
      <c r="O84" s="667"/>
      <c r="P84" s="700"/>
      <c r="Q84" s="667"/>
      <c r="R84" s="670"/>
      <c r="S84" s="238" t="e">
        <f t="shared" si="20"/>
        <v>#DIV/0!</v>
      </c>
      <c r="T84" s="670"/>
      <c r="U84" s="688"/>
      <c r="V84" s="671"/>
      <c r="W84" s="670"/>
      <c r="X84" s="667"/>
      <c r="Y84" s="667"/>
      <c r="Z84" s="667"/>
      <c r="AA84" s="667"/>
      <c r="AB84" s="247">
        <f>W84*1.7%</f>
        <v>0</v>
      </c>
      <c r="AC84" s="247">
        <f t="shared" si="12"/>
        <v>0</v>
      </c>
      <c r="AD84" s="689"/>
      <c r="AE84" s="672"/>
      <c r="AF84" s="667"/>
      <c r="AG84" s="667"/>
      <c r="AH84" s="690"/>
      <c r="AI84" s="673"/>
      <c r="AJ84" s="667"/>
      <c r="AK84" s="667"/>
    </row>
    <row r="85" spans="1:37" s="36" customFormat="1">
      <c r="A85" s="718"/>
      <c r="B85" s="686"/>
      <c r="C85" s="667"/>
      <c r="D85" s="667"/>
      <c r="E85" s="649"/>
      <c r="F85" s="667"/>
      <c r="G85" s="270"/>
      <c r="H85" s="667"/>
      <c r="I85" s="667"/>
      <c r="J85" s="667"/>
      <c r="K85" s="667"/>
      <c r="L85" s="685"/>
      <c r="M85" s="667"/>
      <c r="N85" s="667"/>
      <c r="O85" s="667"/>
      <c r="P85" s="669"/>
      <c r="Q85" s="667"/>
      <c r="R85" s="670"/>
      <c r="S85" s="238" t="e">
        <f t="shared" si="20"/>
        <v>#DIV/0!</v>
      </c>
      <c r="T85" s="670"/>
      <c r="U85" s="688"/>
      <c r="V85" s="671"/>
      <c r="W85" s="670"/>
      <c r="X85" s="667"/>
      <c r="Y85" s="667"/>
      <c r="Z85" s="667"/>
      <c r="AA85" s="667"/>
      <c r="AB85" s="247">
        <f t="shared" si="15"/>
        <v>0</v>
      </c>
      <c r="AC85" s="247">
        <f t="shared" si="12"/>
        <v>0</v>
      </c>
      <c r="AD85" s="707"/>
      <c r="AE85" s="672"/>
      <c r="AF85" s="667"/>
      <c r="AG85" s="667"/>
      <c r="AH85" s="690"/>
      <c r="AI85" s="673"/>
      <c r="AJ85" s="667"/>
      <c r="AK85" s="667"/>
    </row>
    <row r="86" spans="1:37" s="36" customFormat="1">
      <c r="A86" s="668"/>
      <c r="B86" s="667"/>
      <c r="C86" s="667"/>
      <c r="D86" s="667"/>
      <c r="E86" s="649"/>
      <c r="F86" s="667"/>
      <c r="G86" s="270"/>
      <c r="H86" s="667"/>
      <c r="I86" s="667"/>
      <c r="J86" s="667"/>
      <c r="K86" s="667"/>
      <c r="L86" s="685"/>
      <c r="M86" s="667"/>
      <c r="N86" s="667"/>
      <c r="O86" s="667"/>
      <c r="P86" s="669"/>
      <c r="Q86" s="667"/>
      <c r="R86" s="670"/>
      <c r="S86" s="238" t="e">
        <f t="shared" si="20"/>
        <v>#DIV/0!</v>
      </c>
      <c r="T86" s="670"/>
      <c r="U86" s="688"/>
      <c r="V86" s="670"/>
      <c r="W86" s="670"/>
      <c r="X86" s="667"/>
      <c r="Y86" s="667"/>
      <c r="Z86" s="667"/>
      <c r="AA86" s="667"/>
      <c r="AB86" s="247">
        <f t="shared" si="15"/>
        <v>0</v>
      </c>
      <c r="AC86" s="247">
        <f t="shared" si="12"/>
        <v>0</v>
      </c>
      <c r="AD86" s="707"/>
      <c r="AE86" s="672"/>
      <c r="AF86" s="667"/>
      <c r="AG86" s="667"/>
      <c r="AH86" s="667"/>
      <c r="AI86" s="673"/>
      <c r="AJ86" s="667"/>
      <c r="AK86" s="667"/>
    </row>
    <row r="87" spans="1:37" s="36" customFormat="1">
      <c r="A87" s="668"/>
      <c r="B87" s="686"/>
      <c r="C87" s="667"/>
      <c r="D87" s="667"/>
      <c r="E87" s="649"/>
      <c r="F87" s="667"/>
      <c r="G87" s="270"/>
      <c r="H87" s="667"/>
      <c r="I87" s="667"/>
      <c r="J87" s="667"/>
      <c r="K87" s="667"/>
      <c r="L87" s="685"/>
      <c r="M87" s="667"/>
      <c r="N87" s="667"/>
      <c r="O87" s="667"/>
      <c r="P87" s="669"/>
      <c r="Q87" s="667"/>
      <c r="R87" s="670"/>
      <c r="S87" s="238" t="e">
        <f t="shared" si="20"/>
        <v>#DIV/0!</v>
      </c>
      <c r="T87" s="670"/>
      <c r="U87" s="688"/>
      <c r="V87" s="671"/>
      <c r="W87" s="670"/>
      <c r="X87" s="667"/>
      <c r="Y87" s="667"/>
      <c r="Z87" s="667"/>
      <c r="AA87" s="667"/>
      <c r="AB87" s="247">
        <f>W87*1.5%</f>
        <v>0</v>
      </c>
      <c r="AC87" s="247">
        <f t="shared" si="12"/>
        <v>0</v>
      </c>
      <c r="AD87" s="707"/>
      <c r="AE87" s="672"/>
      <c r="AF87" s="667"/>
      <c r="AG87" s="667"/>
      <c r="AH87" s="667"/>
      <c r="AI87" s="673"/>
      <c r="AJ87" s="667"/>
      <c r="AK87" s="667"/>
    </row>
    <row r="88" spans="1:37" s="36" customFormat="1">
      <c r="A88" s="668"/>
      <c r="B88" s="667"/>
      <c r="C88" s="667"/>
      <c r="D88" s="667"/>
      <c r="E88" s="649"/>
      <c r="F88" s="667"/>
      <c r="G88" s="270"/>
      <c r="H88" s="667"/>
      <c r="I88" s="667"/>
      <c r="J88" s="667"/>
      <c r="K88" s="667"/>
      <c r="L88" s="685"/>
      <c r="M88" s="667"/>
      <c r="N88" s="667"/>
      <c r="O88" s="667"/>
      <c r="P88" s="669"/>
      <c r="Q88" s="667"/>
      <c r="R88" s="670"/>
      <c r="S88" s="238" t="e">
        <f t="shared" si="20"/>
        <v>#DIV/0!</v>
      </c>
      <c r="T88" s="670"/>
      <c r="U88" s="688"/>
      <c r="V88" s="671"/>
      <c r="W88" s="670"/>
      <c r="X88" s="667"/>
      <c r="Y88" s="667"/>
      <c r="Z88" s="667"/>
      <c r="AA88" s="667"/>
      <c r="AB88" s="247">
        <f>W88*1.3%</f>
        <v>0</v>
      </c>
      <c r="AC88" s="247">
        <f t="shared" si="12"/>
        <v>0</v>
      </c>
      <c r="AD88" s="707"/>
      <c r="AE88" s="672"/>
      <c r="AF88" s="667"/>
      <c r="AG88" s="667"/>
      <c r="AH88" s="667"/>
      <c r="AI88" s="673"/>
      <c r="AJ88" s="667"/>
      <c r="AK88" s="667"/>
    </row>
    <row r="89" spans="1:37" s="36" customFormat="1">
      <c r="A89" s="668"/>
      <c r="B89" s="667"/>
      <c r="C89" s="667"/>
      <c r="D89" s="667"/>
      <c r="E89" s="649"/>
      <c r="F89" s="667"/>
      <c r="G89" s="270"/>
      <c r="H89" s="667"/>
      <c r="I89" s="667"/>
      <c r="J89" s="667"/>
      <c r="K89" s="667"/>
      <c r="L89" s="685"/>
      <c r="M89" s="667"/>
      <c r="N89" s="686"/>
      <c r="O89" s="667"/>
      <c r="P89" s="700"/>
      <c r="Q89" s="667"/>
      <c r="R89" s="670"/>
      <c r="S89" s="238" t="e">
        <f t="shared" si="20"/>
        <v>#DIV/0!</v>
      </c>
      <c r="T89" s="670"/>
      <c r="U89" s="688"/>
      <c r="V89" s="671"/>
      <c r="W89" s="670"/>
      <c r="X89" s="667"/>
      <c r="Y89" s="667"/>
      <c r="Z89" s="667"/>
      <c r="AA89" s="667"/>
      <c r="AB89" s="247">
        <f t="shared" ref="AB89:AB112" si="32">W89*1.5%</f>
        <v>0</v>
      </c>
      <c r="AC89" s="247">
        <f t="shared" si="12"/>
        <v>0</v>
      </c>
      <c r="AD89" s="689"/>
      <c r="AE89" s="672"/>
      <c r="AF89" s="667"/>
      <c r="AG89" s="667"/>
      <c r="AH89" s="667"/>
      <c r="AI89" s="673"/>
      <c r="AJ89" s="667"/>
      <c r="AK89" s="667"/>
    </row>
    <row r="90" spans="1:37" s="36" customFormat="1">
      <c r="A90" s="661"/>
      <c r="B90" s="667"/>
      <c r="C90" s="667"/>
      <c r="D90" s="667"/>
      <c r="E90" s="649"/>
      <c r="F90" s="667"/>
      <c r="G90" s="270"/>
      <c r="H90" s="667"/>
      <c r="I90" s="667"/>
      <c r="J90" s="667"/>
      <c r="K90" s="667"/>
      <c r="L90" s="685"/>
      <c r="M90" s="667"/>
      <c r="N90" s="667"/>
      <c r="O90" s="667"/>
      <c r="P90" s="669"/>
      <c r="Q90" s="667"/>
      <c r="R90" s="670"/>
      <c r="S90" s="238" t="e">
        <f t="shared" si="20"/>
        <v>#DIV/0!</v>
      </c>
      <c r="T90" s="670"/>
      <c r="U90" s="688"/>
      <c r="V90" s="671"/>
      <c r="W90" s="670"/>
      <c r="X90" s="667"/>
      <c r="Y90" s="667"/>
      <c r="Z90" s="667"/>
      <c r="AA90" s="667"/>
      <c r="AB90" s="247">
        <f t="shared" si="32"/>
        <v>0</v>
      </c>
      <c r="AC90" s="247">
        <f t="shared" si="12"/>
        <v>0</v>
      </c>
      <c r="AD90" s="707"/>
      <c r="AE90" s="672"/>
      <c r="AF90" s="667"/>
      <c r="AG90" s="667"/>
      <c r="AH90" s="667"/>
      <c r="AI90" s="673"/>
      <c r="AJ90" s="667"/>
      <c r="AK90" s="667"/>
    </row>
    <row r="91" spans="1:37" s="36" customFormat="1">
      <c r="A91" s="668"/>
      <c r="B91" s="686"/>
      <c r="C91" s="667"/>
      <c r="D91" s="667"/>
      <c r="E91" s="649"/>
      <c r="F91" s="667"/>
      <c r="G91" s="270"/>
      <c r="H91" s="667"/>
      <c r="I91" s="667"/>
      <c r="J91" s="667"/>
      <c r="K91" s="667"/>
      <c r="L91" s="685"/>
      <c r="M91" s="667"/>
      <c r="N91" s="667"/>
      <c r="O91" s="667"/>
      <c r="P91" s="669"/>
      <c r="Q91" s="667"/>
      <c r="R91" s="670"/>
      <c r="S91" s="238" t="e">
        <f t="shared" si="20"/>
        <v>#DIV/0!</v>
      </c>
      <c r="T91" s="670"/>
      <c r="U91" s="688"/>
      <c r="V91" s="671"/>
      <c r="W91" s="670"/>
      <c r="X91" s="667"/>
      <c r="Y91" s="667"/>
      <c r="Z91" s="667"/>
      <c r="AA91" s="667"/>
      <c r="AB91" s="247">
        <f t="shared" si="32"/>
        <v>0</v>
      </c>
      <c r="AC91" s="247">
        <f t="shared" si="12"/>
        <v>0</v>
      </c>
      <c r="AD91" s="689"/>
      <c r="AE91" s="672"/>
      <c r="AF91" s="667"/>
      <c r="AG91" s="667"/>
      <c r="AH91" s="690"/>
      <c r="AI91" s="673"/>
      <c r="AJ91" s="667"/>
      <c r="AK91" s="667"/>
    </row>
    <row r="92" spans="1:37" s="36" customFormat="1">
      <c r="A92" s="718"/>
      <c r="B92" s="804"/>
      <c r="C92" s="667"/>
      <c r="D92" s="667"/>
      <c r="E92" s="649"/>
      <c r="F92" s="667"/>
      <c r="G92" s="270"/>
      <c r="H92" s="667"/>
      <c r="I92" s="667"/>
      <c r="J92" s="667"/>
      <c r="K92" s="667"/>
      <c r="L92" s="685"/>
      <c r="M92" s="667"/>
      <c r="N92" s="667"/>
      <c r="O92" s="667"/>
      <c r="P92" s="669"/>
      <c r="Q92" s="667"/>
      <c r="R92" s="670"/>
      <c r="S92" s="238" t="e">
        <f t="shared" ref="S92" si="33">(R92-T92)/R92*100</f>
        <v>#DIV/0!</v>
      </c>
      <c r="T92" s="670"/>
      <c r="U92" s="688"/>
      <c r="V92" s="671"/>
      <c r="W92" s="670"/>
      <c r="X92" s="667"/>
      <c r="Y92" s="667"/>
      <c r="Z92" s="667"/>
      <c r="AA92" s="667"/>
      <c r="AB92" s="247">
        <f t="shared" ref="AB92" si="34">W92*1.5%</f>
        <v>0</v>
      </c>
      <c r="AC92" s="247">
        <f t="shared" ref="AC92" si="35">(T92/1.11)</f>
        <v>0</v>
      </c>
      <c r="AD92" s="707"/>
      <c r="AE92" s="672"/>
      <c r="AF92" s="667"/>
      <c r="AG92" s="667"/>
      <c r="AH92" s="690"/>
      <c r="AI92" s="673"/>
      <c r="AJ92" s="667"/>
      <c r="AK92" s="667"/>
    </row>
    <row r="93" spans="1:37" s="36" customFormat="1">
      <c r="A93" s="668"/>
      <c r="B93" s="667"/>
      <c r="C93" s="667"/>
      <c r="D93" s="667"/>
      <c r="E93" s="649"/>
      <c r="F93" s="667"/>
      <c r="G93" s="270"/>
      <c r="H93" s="667"/>
      <c r="I93" s="667"/>
      <c r="J93" s="667"/>
      <c r="K93" s="667"/>
      <c r="L93" s="685"/>
      <c r="M93" s="667"/>
      <c r="N93" s="667"/>
      <c r="O93" s="667"/>
      <c r="P93" s="669"/>
      <c r="Q93" s="667"/>
      <c r="R93" s="670"/>
      <c r="S93" s="238" t="e">
        <f t="shared" si="20"/>
        <v>#DIV/0!</v>
      </c>
      <c r="T93" s="670"/>
      <c r="U93" s="688"/>
      <c r="V93" s="671"/>
      <c r="W93" s="670"/>
      <c r="X93" s="667"/>
      <c r="Y93" s="667"/>
      <c r="Z93" s="667"/>
      <c r="AA93" s="667"/>
      <c r="AB93" s="247">
        <f>W93*0.15%</f>
        <v>0</v>
      </c>
      <c r="AC93" s="247">
        <f t="shared" si="12"/>
        <v>0</v>
      </c>
      <c r="AD93" s="689"/>
      <c r="AE93" s="672"/>
      <c r="AF93" s="667"/>
      <c r="AG93" s="667"/>
      <c r="AH93" s="690"/>
      <c r="AI93" s="673"/>
      <c r="AJ93" s="667"/>
      <c r="AK93" s="667"/>
    </row>
    <row r="94" spans="1:37" s="36" customFormat="1">
      <c r="A94" s="718"/>
      <c r="B94" s="667"/>
      <c r="C94" s="667"/>
      <c r="D94" s="667"/>
      <c r="E94" s="649"/>
      <c r="F94" s="667"/>
      <c r="G94" s="270"/>
      <c r="H94" s="667"/>
      <c r="I94" s="667"/>
      <c r="J94" s="667"/>
      <c r="K94" s="667"/>
      <c r="L94" s="685"/>
      <c r="M94" s="686"/>
      <c r="N94" s="667"/>
      <c r="O94" s="667"/>
      <c r="P94" s="700"/>
      <c r="Q94" s="667"/>
      <c r="R94" s="670"/>
      <c r="S94" s="238" t="e">
        <f t="shared" si="20"/>
        <v>#DIV/0!</v>
      </c>
      <c r="T94" s="670"/>
      <c r="U94" s="688"/>
      <c r="V94" s="671"/>
      <c r="W94" s="670"/>
      <c r="X94" s="667"/>
      <c r="Y94" s="667"/>
      <c r="Z94" s="667"/>
      <c r="AA94" s="667"/>
      <c r="AB94" s="247">
        <f t="shared" si="32"/>
        <v>0</v>
      </c>
      <c r="AC94" s="247">
        <f t="shared" si="12"/>
        <v>0</v>
      </c>
      <c r="AD94" s="689"/>
      <c r="AE94" s="672"/>
      <c r="AF94" s="667"/>
      <c r="AG94" s="667"/>
      <c r="AH94" s="690"/>
      <c r="AI94" s="673"/>
      <c r="AJ94" s="667"/>
      <c r="AK94" s="667"/>
    </row>
    <row r="95" spans="1:37" s="36" customFormat="1">
      <c r="A95" s="718"/>
      <c r="B95" s="667"/>
      <c r="C95" s="667"/>
      <c r="D95" s="667"/>
      <c r="E95" s="649"/>
      <c r="F95" s="667"/>
      <c r="G95" s="270"/>
      <c r="H95" s="667"/>
      <c r="I95" s="667"/>
      <c r="J95" s="667"/>
      <c r="K95" s="667"/>
      <c r="L95" s="685"/>
      <c r="M95" s="667"/>
      <c r="N95" s="667"/>
      <c r="O95" s="667"/>
      <c r="P95" s="669"/>
      <c r="Q95" s="667"/>
      <c r="R95" s="670"/>
      <c r="S95" s="238" t="e">
        <f t="shared" si="20"/>
        <v>#DIV/0!</v>
      </c>
      <c r="T95" s="670"/>
      <c r="U95" s="688"/>
      <c r="V95" s="671"/>
      <c r="W95" s="670"/>
      <c r="X95" s="667"/>
      <c r="Y95" s="667"/>
      <c r="Z95" s="667"/>
      <c r="AA95" s="667"/>
      <c r="AB95" s="247">
        <f t="shared" si="32"/>
        <v>0</v>
      </c>
      <c r="AC95" s="247">
        <f t="shared" si="12"/>
        <v>0</v>
      </c>
      <c r="AD95" s="689"/>
      <c r="AE95" s="672"/>
      <c r="AF95" s="667"/>
      <c r="AG95" s="667"/>
      <c r="AH95" s="690"/>
      <c r="AI95" s="673"/>
      <c r="AJ95" s="667"/>
      <c r="AK95" s="667"/>
    </row>
    <row r="96" spans="1:37" s="36" customFormat="1">
      <c r="A96" s="668"/>
      <c r="B96" s="667"/>
      <c r="C96" s="667"/>
      <c r="D96" s="667"/>
      <c r="E96" s="649"/>
      <c r="F96" s="667"/>
      <c r="G96" s="270"/>
      <c r="H96" s="667"/>
      <c r="I96" s="667"/>
      <c r="J96" s="667"/>
      <c r="K96" s="667"/>
      <c r="L96" s="685"/>
      <c r="M96" s="667"/>
      <c r="N96" s="667"/>
      <c r="O96" s="667"/>
      <c r="P96" s="669"/>
      <c r="Q96" s="667"/>
      <c r="R96" s="670"/>
      <c r="S96" s="238" t="e">
        <f t="shared" si="20"/>
        <v>#DIV/0!</v>
      </c>
      <c r="T96" s="670"/>
      <c r="U96" s="688"/>
      <c r="V96" s="671"/>
      <c r="W96" s="670"/>
      <c r="X96" s="667"/>
      <c r="Y96" s="667"/>
      <c r="Z96" s="667"/>
      <c r="AA96" s="667"/>
      <c r="AB96" s="247">
        <f>W96*1.4%</f>
        <v>0</v>
      </c>
      <c r="AC96" s="247">
        <f t="shared" si="12"/>
        <v>0</v>
      </c>
      <c r="AD96" s="707"/>
      <c r="AE96" s="672"/>
      <c r="AF96" s="667"/>
      <c r="AG96" s="667"/>
      <c r="AH96" s="690"/>
      <c r="AI96" s="673"/>
      <c r="AJ96" s="667"/>
      <c r="AK96" s="667"/>
    </row>
    <row r="97" spans="1:37" s="36" customFormat="1">
      <c r="A97" s="668"/>
      <c r="B97" s="667"/>
      <c r="C97" s="667"/>
      <c r="D97" s="667"/>
      <c r="E97" s="649"/>
      <c r="F97" s="667"/>
      <c r="G97" s="667"/>
      <c r="H97" s="667"/>
      <c r="I97" s="667"/>
      <c r="J97" s="667"/>
      <c r="K97" s="667"/>
      <c r="L97" s="685"/>
      <c r="M97" s="667"/>
      <c r="N97" s="667"/>
      <c r="O97" s="667"/>
      <c r="P97" s="669"/>
      <c r="Q97" s="667"/>
      <c r="R97" s="670"/>
      <c r="S97" s="238" t="e">
        <f t="shared" si="20"/>
        <v>#DIV/0!</v>
      </c>
      <c r="T97" s="670"/>
      <c r="U97" s="688"/>
      <c r="V97" s="671"/>
      <c r="W97" s="670"/>
      <c r="X97" s="667"/>
      <c r="Y97" s="667"/>
      <c r="Z97" s="667"/>
      <c r="AA97" s="667"/>
      <c r="AB97" s="247">
        <f t="shared" si="32"/>
        <v>0</v>
      </c>
      <c r="AC97" s="247">
        <f t="shared" si="12"/>
        <v>0</v>
      </c>
      <c r="AD97" s="707"/>
      <c r="AE97" s="672"/>
      <c r="AF97" s="667"/>
      <c r="AG97" s="667"/>
      <c r="AH97" s="690"/>
      <c r="AI97" s="673"/>
      <c r="AJ97" s="667"/>
      <c r="AK97" s="667"/>
    </row>
    <row r="98" spans="1:37" s="36" customFormat="1">
      <c r="A98" s="668"/>
      <c r="B98" s="686"/>
      <c r="C98" s="667"/>
      <c r="D98" s="667"/>
      <c r="E98" s="649"/>
      <c r="F98" s="667"/>
      <c r="G98" s="270"/>
      <c r="H98" s="667"/>
      <c r="I98" s="667"/>
      <c r="J98" s="667"/>
      <c r="K98" s="667"/>
      <c r="L98" s="685"/>
      <c r="M98" s="667"/>
      <c r="N98" s="667"/>
      <c r="O98" s="667"/>
      <c r="P98" s="669"/>
      <c r="Q98" s="667"/>
      <c r="R98" s="670"/>
      <c r="S98" s="238" t="e">
        <f t="shared" si="20"/>
        <v>#DIV/0!</v>
      </c>
      <c r="T98" s="670"/>
      <c r="U98" s="688"/>
      <c r="V98" s="671"/>
      <c r="W98" s="670"/>
      <c r="X98" s="667"/>
      <c r="Y98" s="667"/>
      <c r="Z98" s="667"/>
      <c r="AA98" s="667"/>
      <c r="AB98" s="247">
        <f t="shared" si="32"/>
        <v>0</v>
      </c>
      <c r="AC98" s="247">
        <f t="shared" si="12"/>
        <v>0</v>
      </c>
      <c r="AD98" s="689"/>
      <c r="AE98" s="672"/>
      <c r="AF98" s="667"/>
      <c r="AG98" s="667"/>
      <c r="AH98" s="690"/>
      <c r="AI98" s="673"/>
      <c r="AJ98" s="667"/>
      <c r="AK98" s="667"/>
    </row>
    <row r="99" spans="1:37" s="36" customFormat="1">
      <c r="A99" s="661"/>
      <c r="B99" s="686"/>
      <c r="C99" s="667"/>
      <c r="D99" s="667"/>
      <c r="E99" s="649"/>
      <c r="F99" s="667"/>
      <c r="G99" s="667"/>
      <c r="H99" s="667"/>
      <c r="I99" s="667"/>
      <c r="J99" s="667"/>
      <c r="K99" s="667"/>
      <c r="L99" s="685"/>
      <c r="M99" s="667"/>
      <c r="N99" s="667"/>
      <c r="O99" s="667"/>
      <c r="P99" s="669"/>
      <c r="Q99" s="667"/>
      <c r="R99" s="670"/>
      <c r="S99" s="238" t="e">
        <f t="shared" si="20"/>
        <v>#DIV/0!</v>
      </c>
      <c r="T99" s="670"/>
      <c r="U99" s="688"/>
      <c r="V99" s="671"/>
      <c r="W99" s="670"/>
      <c r="X99" s="667"/>
      <c r="Y99" s="667"/>
      <c r="Z99" s="667"/>
      <c r="AA99" s="667"/>
      <c r="AB99" s="247">
        <f t="shared" si="32"/>
        <v>0</v>
      </c>
      <c r="AC99" s="247">
        <f t="shared" si="12"/>
        <v>0</v>
      </c>
      <c r="AD99" s="689"/>
      <c r="AE99" s="672"/>
      <c r="AF99" s="667"/>
      <c r="AG99" s="667"/>
      <c r="AH99" s="667"/>
      <c r="AI99" s="673"/>
      <c r="AJ99" s="667"/>
      <c r="AK99" s="667"/>
    </row>
    <row r="100" spans="1:37" s="36" customFormat="1">
      <c r="A100" s="661"/>
      <c r="B100" s="269"/>
      <c r="C100" s="667"/>
      <c r="D100" s="667"/>
      <c r="E100" s="649"/>
      <c r="F100" s="667"/>
      <c r="G100" s="667"/>
      <c r="H100" s="667"/>
      <c r="I100" s="667"/>
      <c r="J100" s="667"/>
      <c r="K100" s="667"/>
      <c r="L100" s="685"/>
      <c r="M100" s="667"/>
      <c r="N100" s="667"/>
      <c r="O100" s="667"/>
      <c r="P100" s="669"/>
      <c r="Q100" s="667"/>
      <c r="R100" s="670"/>
      <c r="S100" s="238" t="e">
        <f t="shared" si="20"/>
        <v>#DIV/0!</v>
      </c>
      <c r="T100" s="670"/>
      <c r="U100" s="688"/>
      <c r="V100" s="671"/>
      <c r="W100" s="670"/>
      <c r="X100" s="667"/>
      <c r="Y100" s="667"/>
      <c r="Z100" s="667"/>
      <c r="AA100" s="667"/>
      <c r="AB100" s="247">
        <f t="shared" si="32"/>
        <v>0</v>
      </c>
      <c r="AC100" s="247">
        <f t="shared" si="12"/>
        <v>0</v>
      </c>
      <c r="AD100" s="707"/>
      <c r="AE100" s="672"/>
      <c r="AF100" s="667"/>
      <c r="AG100" s="667"/>
      <c r="AH100" s="690"/>
      <c r="AI100" s="673"/>
      <c r="AJ100" s="667"/>
      <c r="AK100" s="667"/>
    </row>
    <row r="101" spans="1:37" s="36" customFormat="1">
      <c r="A101" s="661"/>
      <c r="B101" s="667"/>
      <c r="C101" s="667"/>
      <c r="D101" s="667"/>
      <c r="E101" s="649"/>
      <c r="F101" s="667"/>
      <c r="G101" s="270"/>
      <c r="H101" s="667"/>
      <c r="I101" s="667"/>
      <c r="J101" s="667"/>
      <c r="K101" s="667"/>
      <c r="L101" s="685"/>
      <c r="M101" s="667"/>
      <c r="N101" s="686"/>
      <c r="O101" s="667"/>
      <c r="P101" s="700"/>
      <c r="Q101" s="667"/>
      <c r="R101" s="670"/>
      <c r="S101" s="238" t="e">
        <f t="shared" si="20"/>
        <v>#DIV/0!</v>
      </c>
      <c r="T101" s="670"/>
      <c r="U101" s="688"/>
      <c r="V101" s="671"/>
      <c r="W101" s="670"/>
      <c r="X101" s="667"/>
      <c r="Y101" s="667"/>
      <c r="Z101" s="667"/>
      <c r="AA101" s="667"/>
      <c r="AB101" s="247">
        <f t="shared" si="32"/>
        <v>0</v>
      </c>
      <c r="AC101" s="247">
        <f t="shared" si="12"/>
        <v>0</v>
      </c>
      <c r="AD101" s="707"/>
      <c r="AE101" s="672"/>
      <c r="AF101" s="667"/>
      <c r="AG101" s="667"/>
      <c r="AH101" s="690"/>
      <c r="AI101" s="673"/>
      <c r="AJ101" s="667"/>
      <c r="AK101" s="667"/>
    </row>
    <row r="102" spans="1:37" s="36" customFormat="1">
      <c r="A102" s="668"/>
      <c r="B102" s="686"/>
      <c r="C102" s="667"/>
      <c r="D102" s="667"/>
      <c r="E102" s="649"/>
      <c r="F102" s="667"/>
      <c r="G102" s="270"/>
      <c r="H102" s="667"/>
      <c r="I102" s="667"/>
      <c r="J102" s="667"/>
      <c r="K102" s="667"/>
      <c r="L102" s="685"/>
      <c r="M102" s="667"/>
      <c r="N102" s="667"/>
      <c r="O102" s="667"/>
      <c r="P102" s="669"/>
      <c r="Q102" s="667"/>
      <c r="R102" s="670"/>
      <c r="S102" s="238" t="e">
        <f t="shared" si="20"/>
        <v>#DIV/0!</v>
      </c>
      <c r="T102" s="670"/>
      <c r="U102" s="688"/>
      <c r="V102" s="671"/>
      <c r="W102" s="670"/>
      <c r="X102" s="667"/>
      <c r="Y102" s="667"/>
      <c r="Z102" s="667"/>
      <c r="AA102" s="667"/>
      <c r="AB102" s="247">
        <f t="shared" si="32"/>
        <v>0</v>
      </c>
      <c r="AC102" s="247">
        <f t="shared" si="12"/>
        <v>0</v>
      </c>
      <c r="AD102" s="707"/>
      <c r="AE102" s="672"/>
      <c r="AF102" s="667"/>
      <c r="AG102" s="667"/>
      <c r="AH102" s="690"/>
      <c r="AI102" s="673"/>
      <c r="AJ102" s="667"/>
      <c r="AK102" s="667"/>
    </row>
    <row r="103" spans="1:37" s="36" customFormat="1">
      <c r="A103" s="661"/>
      <c r="B103" s="667"/>
      <c r="C103" s="667"/>
      <c r="D103" s="667"/>
      <c r="E103" s="649"/>
      <c r="F103" s="667"/>
      <c r="G103" s="270"/>
      <c r="H103" s="667"/>
      <c r="I103" s="667"/>
      <c r="J103" s="667"/>
      <c r="K103" s="667"/>
      <c r="L103" s="685"/>
      <c r="M103" s="667"/>
      <c r="N103" s="667"/>
      <c r="O103" s="667"/>
      <c r="P103" s="669"/>
      <c r="Q103" s="667"/>
      <c r="R103" s="670"/>
      <c r="S103" s="238" t="e">
        <f t="shared" si="20"/>
        <v>#DIV/0!</v>
      </c>
      <c r="T103" s="670"/>
      <c r="U103" s="688"/>
      <c r="V103" s="671"/>
      <c r="W103" s="670"/>
      <c r="X103" s="667"/>
      <c r="Y103" s="667"/>
      <c r="Z103" s="667"/>
      <c r="AA103" s="667"/>
      <c r="AB103" s="247">
        <f t="shared" si="32"/>
        <v>0</v>
      </c>
      <c r="AC103" s="247">
        <f t="shared" si="12"/>
        <v>0</v>
      </c>
      <c r="AD103" s="707"/>
      <c r="AE103" s="672"/>
      <c r="AF103" s="667"/>
      <c r="AG103" s="667"/>
      <c r="AH103" s="690"/>
      <c r="AI103" s="673"/>
      <c r="AJ103" s="667"/>
      <c r="AK103" s="667"/>
    </row>
    <row r="104" spans="1:37" s="36" customFormat="1">
      <c r="A104" s="661"/>
      <c r="B104" s="667"/>
      <c r="C104" s="667"/>
      <c r="D104" s="667"/>
      <c r="E104" s="649"/>
      <c r="F104" s="667"/>
      <c r="G104" s="270"/>
      <c r="H104" s="667"/>
      <c r="I104" s="667"/>
      <c r="J104" s="667"/>
      <c r="K104" s="667"/>
      <c r="L104" s="685"/>
      <c r="M104" s="667"/>
      <c r="N104" s="667"/>
      <c r="O104" s="667"/>
      <c r="P104" s="669"/>
      <c r="Q104" s="667"/>
      <c r="R104" s="670"/>
      <c r="S104" s="238" t="e">
        <f t="shared" ref="S104" si="36">(R104-T104)/R104*100</f>
        <v>#DIV/0!</v>
      </c>
      <c r="T104" s="670"/>
      <c r="U104" s="688"/>
      <c r="V104" s="671"/>
      <c r="W104" s="670"/>
      <c r="X104" s="667"/>
      <c r="Y104" s="667"/>
      <c r="Z104" s="667"/>
      <c r="AA104" s="667"/>
      <c r="AB104" s="247">
        <f t="shared" ref="AB104" si="37">W104*1.5%</f>
        <v>0</v>
      </c>
      <c r="AC104" s="247">
        <f t="shared" ref="AC104" si="38">(T104/1.11)</f>
        <v>0</v>
      </c>
      <c r="AD104" s="707"/>
      <c r="AE104" s="672"/>
      <c r="AF104" s="667"/>
      <c r="AG104" s="667"/>
      <c r="AH104" s="690"/>
      <c r="AI104" s="673"/>
      <c r="AJ104" s="667"/>
      <c r="AK104" s="667"/>
    </row>
    <row r="105" spans="1:37" s="36" customFormat="1">
      <c r="A105" s="668"/>
      <c r="B105" s="667"/>
      <c r="C105" s="667"/>
      <c r="D105" s="667"/>
      <c r="E105" s="649"/>
      <c r="F105" s="667"/>
      <c r="G105" s="667"/>
      <c r="H105" s="667"/>
      <c r="I105" s="667"/>
      <c r="J105" s="667"/>
      <c r="K105" s="667"/>
      <c r="L105" s="685"/>
      <c r="M105" s="667"/>
      <c r="N105" s="667"/>
      <c r="O105" s="667"/>
      <c r="P105" s="669"/>
      <c r="Q105" s="667"/>
      <c r="R105" s="670"/>
      <c r="S105" s="238" t="e">
        <f t="shared" si="20"/>
        <v>#DIV/0!</v>
      </c>
      <c r="T105" s="670"/>
      <c r="U105" s="688"/>
      <c r="V105" s="671"/>
      <c r="W105" s="670"/>
      <c r="X105" s="667"/>
      <c r="Y105" s="667"/>
      <c r="Z105" s="667"/>
      <c r="AA105" s="667"/>
      <c r="AB105" s="247">
        <f t="shared" si="32"/>
        <v>0</v>
      </c>
      <c r="AC105" s="247">
        <f t="shared" si="12"/>
        <v>0</v>
      </c>
      <c r="AD105" s="707"/>
      <c r="AE105" s="672"/>
      <c r="AF105" s="667"/>
      <c r="AG105" s="667"/>
      <c r="AH105" s="690"/>
      <c r="AI105" s="673"/>
      <c r="AJ105" s="667"/>
      <c r="AK105" s="667"/>
    </row>
    <row r="106" spans="1:37" s="36" customFormat="1">
      <c r="A106" s="668"/>
      <c r="B106" s="667"/>
      <c r="C106" s="667"/>
      <c r="D106" s="667"/>
      <c r="E106" s="649"/>
      <c r="F106" s="667"/>
      <c r="G106" s="667"/>
      <c r="H106" s="667"/>
      <c r="I106" s="667"/>
      <c r="J106" s="667"/>
      <c r="K106" s="667"/>
      <c r="L106" s="685"/>
      <c r="M106" s="667"/>
      <c r="N106" s="667"/>
      <c r="O106" s="667"/>
      <c r="P106" s="669"/>
      <c r="Q106" s="667"/>
      <c r="R106" s="670"/>
      <c r="S106" s="238" t="e">
        <f t="shared" si="20"/>
        <v>#DIV/0!</v>
      </c>
      <c r="T106" s="670"/>
      <c r="U106" s="688"/>
      <c r="V106" s="671"/>
      <c r="W106" s="670"/>
      <c r="X106" s="667"/>
      <c r="Y106" s="667"/>
      <c r="Z106" s="667"/>
      <c r="AA106" s="667"/>
      <c r="AB106" s="247">
        <f t="shared" si="32"/>
        <v>0</v>
      </c>
      <c r="AC106" s="247">
        <f t="shared" si="12"/>
        <v>0</v>
      </c>
      <c r="AD106" s="707"/>
      <c r="AE106" s="672"/>
      <c r="AF106" s="667"/>
      <c r="AG106" s="667"/>
      <c r="AH106" s="690"/>
      <c r="AI106" s="673"/>
      <c r="AJ106" s="667"/>
      <c r="AK106" s="667"/>
    </row>
    <row r="107" spans="1:37" s="36" customFormat="1">
      <c r="A107" s="668"/>
      <c r="B107" s="667"/>
      <c r="C107" s="667"/>
      <c r="D107" s="667"/>
      <c r="E107" s="649"/>
      <c r="F107" s="667"/>
      <c r="G107" s="667"/>
      <c r="H107" s="667"/>
      <c r="I107" s="667"/>
      <c r="J107" s="667"/>
      <c r="K107" s="667"/>
      <c r="L107" s="685"/>
      <c r="M107" s="667"/>
      <c r="N107" s="667"/>
      <c r="O107" s="667"/>
      <c r="P107" s="669"/>
      <c r="Q107" s="667"/>
      <c r="R107" s="670"/>
      <c r="S107" s="238" t="e">
        <f t="shared" si="20"/>
        <v>#DIV/0!</v>
      </c>
      <c r="T107" s="670"/>
      <c r="U107" s="688"/>
      <c r="V107" s="671"/>
      <c r="W107" s="670"/>
      <c r="X107" s="667"/>
      <c r="Y107" s="667"/>
      <c r="Z107" s="667"/>
      <c r="AA107" s="667"/>
      <c r="AB107" s="247">
        <f t="shared" si="32"/>
        <v>0</v>
      </c>
      <c r="AC107" s="247">
        <f t="shared" si="12"/>
        <v>0</v>
      </c>
      <c r="AD107" s="707"/>
      <c r="AE107" s="672"/>
      <c r="AF107" s="667"/>
      <c r="AG107" s="667"/>
      <c r="AH107" s="690"/>
      <c r="AI107" s="673"/>
      <c r="AJ107" s="667"/>
      <c r="AK107" s="667"/>
    </row>
    <row r="108" spans="1:37" s="36" customFormat="1">
      <c r="A108" s="668"/>
      <c r="B108" s="667"/>
      <c r="C108" s="667"/>
      <c r="D108" s="667"/>
      <c r="E108" s="649"/>
      <c r="F108" s="667"/>
      <c r="G108" s="667"/>
      <c r="H108" s="667"/>
      <c r="I108" s="667"/>
      <c r="J108" s="667"/>
      <c r="K108" s="667"/>
      <c r="L108" s="685"/>
      <c r="M108" s="667"/>
      <c r="N108" s="667"/>
      <c r="O108" s="667"/>
      <c r="P108" s="669"/>
      <c r="Q108" s="667"/>
      <c r="R108" s="670"/>
      <c r="S108" s="238" t="e">
        <f t="shared" si="20"/>
        <v>#DIV/0!</v>
      </c>
      <c r="T108" s="670"/>
      <c r="U108" s="688"/>
      <c r="V108" s="671"/>
      <c r="W108" s="670"/>
      <c r="X108" s="667"/>
      <c r="Y108" s="667"/>
      <c r="Z108" s="667"/>
      <c r="AA108" s="667"/>
      <c r="AB108" s="247">
        <f t="shared" si="32"/>
        <v>0</v>
      </c>
      <c r="AC108" s="247">
        <f t="shared" si="12"/>
        <v>0</v>
      </c>
      <c r="AD108" s="707"/>
      <c r="AE108" s="672"/>
      <c r="AF108" s="667"/>
      <c r="AG108" s="667"/>
      <c r="AH108" s="690"/>
      <c r="AI108" s="673"/>
      <c r="AJ108" s="667"/>
      <c r="AK108" s="667"/>
    </row>
    <row r="109" spans="1:37" s="36" customFormat="1">
      <c r="A109" s="376"/>
      <c r="B109" s="310"/>
      <c r="C109" s="310"/>
      <c r="D109" s="310"/>
      <c r="E109" s="320"/>
      <c r="F109" s="667"/>
      <c r="G109" s="270"/>
      <c r="H109" s="284"/>
      <c r="I109" s="284"/>
      <c r="J109" s="284"/>
      <c r="K109" s="284"/>
      <c r="L109" s="573"/>
      <c r="M109" s="310"/>
      <c r="N109" s="284"/>
      <c r="O109" s="310"/>
      <c r="P109" s="290"/>
      <c r="Q109" s="310"/>
      <c r="R109" s="339"/>
      <c r="S109" s="238" t="e">
        <f t="shared" si="20"/>
        <v>#DIV/0!</v>
      </c>
      <c r="T109" s="339"/>
      <c r="U109" s="428"/>
      <c r="V109" s="374"/>
      <c r="W109" s="339"/>
      <c r="X109" s="310"/>
      <c r="Y109" s="310"/>
      <c r="Z109" s="310"/>
      <c r="AA109" s="310"/>
      <c r="AB109" s="247">
        <f t="shared" si="32"/>
        <v>0</v>
      </c>
      <c r="AC109" s="247">
        <f t="shared" si="12"/>
        <v>0</v>
      </c>
      <c r="AD109" s="708"/>
      <c r="AE109" s="326"/>
      <c r="AF109" s="310"/>
      <c r="AG109" s="310"/>
      <c r="AH109" s="574"/>
      <c r="AI109" s="375"/>
      <c r="AJ109" s="310"/>
      <c r="AK109" s="310"/>
    </row>
    <row r="110" spans="1:37" s="36" customFormat="1">
      <c r="A110" s="376"/>
      <c r="B110" s="310"/>
      <c r="C110" s="310"/>
      <c r="D110" s="310"/>
      <c r="E110" s="320"/>
      <c r="F110" s="667"/>
      <c r="G110" s="310"/>
      <c r="H110" s="284"/>
      <c r="I110" s="284"/>
      <c r="J110" s="284"/>
      <c r="K110" s="284"/>
      <c r="L110" s="573"/>
      <c r="M110" s="310"/>
      <c r="N110" s="310"/>
      <c r="O110" s="310"/>
      <c r="P110" s="382"/>
      <c r="Q110" s="310"/>
      <c r="R110" s="339"/>
      <c r="S110" s="238" t="e">
        <f t="shared" si="20"/>
        <v>#DIV/0!</v>
      </c>
      <c r="T110" s="339"/>
      <c r="U110" s="428"/>
      <c r="V110" s="374"/>
      <c r="W110" s="339"/>
      <c r="X110" s="310"/>
      <c r="Y110" s="310"/>
      <c r="Z110" s="310"/>
      <c r="AA110" s="310"/>
      <c r="AB110" s="247">
        <f t="shared" si="32"/>
        <v>0</v>
      </c>
      <c r="AC110" s="247">
        <f t="shared" si="12"/>
        <v>0</v>
      </c>
      <c r="AD110" s="708"/>
      <c r="AE110" s="326"/>
      <c r="AF110" s="310"/>
      <c r="AG110" s="310"/>
      <c r="AH110" s="574"/>
      <c r="AI110" s="375"/>
      <c r="AJ110" s="310"/>
      <c r="AK110" s="310"/>
    </row>
    <row r="111" spans="1:37" s="36" customFormat="1">
      <c r="A111" s="376"/>
      <c r="B111" s="310"/>
      <c r="C111" s="310"/>
      <c r="D111" s="310"/>
      <c r="E111" s="320"/>
      <c r="F111" s="667"/>
      <c r="G111" s="310"/>
      <c r="H111" s="284"/>
      <c r="I111" s="284"/>
      <c r="J111" s="284"/>
      <c r="K111" s="284"/>
      <c r="L111" s="573"/>
      <c r="M111" s="310"/>
      <c r="N111" s="310"/>
      <c r="O111" s="310"/>
      <c r="P111" s="382"/>
      <c r="Q111" s="310"/>
      <c r="R111" s="339"/>
      <c r="S111" s="238" t="e">
        <f t="shared" si="20"/>
        <v>#DIV/0!</v>
      </c>
      <c r="T111" s="339"/>
      <c r="U111" s="428"/>
      <c r="V111" s="374"/>
      <c r="W111" s="339"/>
      <c r="X111" s="310"/>
      <c r="Y111" s="310"/>
      <c r="Z111" s="310"/>
      <c r="AA111" s="310"/>
      <c r="AB111" s="247">
        <f t="shared" si="32"/>
        <v>0</v>
      </c>
      <c r="AC111" s="247">
        <f t="shared" si="12"/>
        <v>0</v>
      </c>
      <c r="AD111" s="708"/>
      <c r="AE111" s="326"/>
      <c r="AF111" s="310"/>
      <c r="AG111" s="310"/>
      <c r="AH111" s="574"/>
      <c r="AI111" s="375"/>
      <c r="AJ111" s="310"/>
      <c r="AK111" s="310"/>
    </row>
    <row r="112" spans="1:37" s="36" customFormat="1">
      <c r="A112" s="376"/>
      <c r="B112" s="310"/>
      <c r="C112" s="310"/>
      <c r="D112" s="310"/>
      <c r="E112" s="320"/>
      <c r="F112" s="649"/>
      <c r="G112" s="310"/>
      <c r="H112" s="284"/>
      <c r="I112" s="284"/>
      <c r="J112" s="284"/>
      <c r="K112" s="284"/>
      <c r="L112" s="573"/>
      <c r="M112" s="310"/>
      <c r="N112" s="310"/>
      <c r="O112" s="310"/>
      <c r="P112" s="382"/>
      <c r="Q112" s="310"/>
      <c r="R112" s="339"/>
      <c r="S112" s="238" t="e">
        <f t="shared" si="20"/>
        <v>#DIV/0!</v>
      </c>
      <c r="T112" s="339"/>
      <c r="U112" s="428"/>
      <c r="V112" s="374"/>
      <c r="W112" s="339"/>
      <c r="X112" s="310"/>
      <c r="Y112" s="310"/>
      <c r="Z112" s="310"/>
      <c r="AA112" s="310"/>
      <c r="AB112" s="247">
        <f t="shared" si="32"/>
        <v>0</v>
      </c>
      <c r="AC112" s="247">
        <f t="shared" si="12"/>
        <v>0</v>
      </c>
      <c r="AD112" s="708"/>
      <c r="AE112" s="326"/>
      <c r="AF112" s="310"/>
      <c r="AG112" s="310"/>
      <c r="AH112" s="574"/>
      <c r="AI112" s="375"/>
      <c r="AJ112" s="310"/>
      <c r="AK112" s="310"/>
    </row>
    <row r="113" spans="1:37" s="36" customFormat="1">
      <c r="A113" s="362"/>
      <c r="B113" s="67"/>
      <c r="C113" s="67"/>
      <c r="D113" s="67"/>
      <c r="E113" s="430"/>
      <c r="F113" s="650"/>
      <c r="G113" s="67"/>
      <c r="H113" s="284"/>
      <c r="I113" s="284"/>
      <c r="J113" s="284"/>
      <c r="K113" s="284"/>
      <c r="L113" s="431"/>
      <c r="M113" s="67"/>
      <c r="N113" s="67"/>
      <c r="O113" s="67"/>
      <c r="P113" s="432"/>
      <c r="Q113" s="67"/>
      <c r="R113" s="433"/>
      <c r="S113" s="238" t="e">
        <f t="shared" si="20"/>
        <v>#DIV/0!</v>
      </c>
      <c r="T113" s="380"/>
      <c r="U113" s="426"/>
      <c r="V113" s="381"/>
      <c r="W113" s="380"/>
      <c r="X113" s="284"/>
      <c r="Y113" s="284"/>
      <c r="Z113" s="284"/>
      <c r="AA113" s="284"/>
      <c r="AB113" s="247">
        <f t="shared" si="15"/>
        <v>0</v>
      </c>
      <c r="AC113" s="247">
        <f t="shared" si="12"/>
        <v>0</v>
      </c>
      <c r="AD113" s="709"/>
      <c r="AE113" s="283"/>
      <c r="AF113" s="284"/>
      <c r="AG113" s="284"/>
      <c r="AH113" s="554"/>
      <c r="AI113" s="373"/>
      <c r="AJ113" s="284"/>
      <c r="AK113" s="284"/>
    </row>
    <row r="114" spans="1:37">
      <c r="A114" s="383"/>
      <c r="B114" s="384"/>
      <c r="C114" s="384"/>
      <c r="D114" s="385"/>
      <c r="E114" s="115" t="s">
        <v>20</v>
      </c>
      <c r="F114" s="651"/>
      <c r="G114" s="385"/>
      <c r="H114" s="393">
        <f>SUM(H7:H113)</f>
        <v>0</v>
      </c>
      <c r="I114" s="393">
        <f>SUM(I7:I113)</f>
        <v>29</v>
      </c>
      <c r="J114" s="393">
        <f>SUM(J7:J113)</f>
        <v>0</v>
      </c>
      <c r="K114" s="393">
        <f>SUM(K7:K113)</f>
        <v>29</v>
      </c>
      <c r="L114" s="115"/>
      <c r="M114" s="114"/>
      <c r="N114" s="114"/>
      <c r="O114" s="114"/>
      <c r="P114" s="115"/>
      <c r="Q114" s="114">
        <f>SUM(Q7:Q113)</f>
        <v>19</v>
      </c>
      <c r="R114" s="387">
        <f>SUM(R7:R113)</f>
        <v>73100000</v>
      </c>
      <c r="S114" s="388"/>
      <c r="T114" s="389">
        <f>SUM(T7:T113)</f>
        <v>73100000</v>
      </c>
      <c r="U114" s="434"/>
      <c r="V114" s="391">
        <f>SUM(V7:V113)</f>
        <v>18550000</v>
      </c>
      <c r="W114" s="392">
        <f>SUM(W7:W113)</f>
        <v>32800000</v>
      </c>
      <c r="X114" s="393"/>
      <c r="Y114" s="393"/>
      <c r="Z114" s="394"/>
      <c r="AA114" s="394"/>
      <c r="AB114" s="395">
        <f>SUM(AB7:AB113)</f>
        <v>302012.50000000006</v>
      </c>
      <c r="AC114" s="395">
        <f>SUM(AC7:AC113)</f>
        <v>65855855.855855845</v>
      </c>
      <c r="AD114" s="396">
        <f>SUM(AD7:AD113)</f>
        <v>65855855.855855845</v>
      </c>
      <c r="AE114" s="397"/>
      <c r="AF114" s="124"/>
      <c r="AG114" s="393"/>
      <c r="AH114" s="390"/>
      <c r="AI114" s="390"/>
      <c r="AJ114" s="390"/>
      <c r="AK114" s="390"/>
    </row>
    <row r="65525" spans="14:14">
      <c r="N65525" s="153"/>
    </row>
    <row r="1048540" spans="12:16">
      <c r="P1048540" s="379"/>
    </row>
    <row r="1048544" spans="12:16">
      <c r="L1048544" s="270"/>
    </row>
    <row r="1048566" spans="13:13">
      <c r="M1048566" s="686"/>
    </row>
  </sheetData>
  <sheetProtection selectLockedCells="1" selectUnlockedCells="1"/>
  <mergeCells count="30">
    <mergeCell ref="AG5:AG6"/>
    <mergeCell ref="U5:AB5"/>
    <mergeCell ref="AH5:AH6"/>
    <mergeCell ref="AJ5:AJ6"/>
    <mergeCell ref="AK5:AK6"/>
    <mergeCell ref="AI5:AI6"/>
    <mergeCell ref="AC5:AC6"/>
    <mergeCell ref="AD5:AD6"/>
    <mergeCell ref="AE5:AE6"/>
    <mergeCell ref="AF5:AF6"/>
    <mergeCell ref="A5:A6"/>
    <mergeCell ref="B5:B6"/>
    <mergeCell ref="D5:D6"/>
    <mergeCell ref="E5:E6"/>
    <mergeCell ref="G5:G6"/>
    <mergeCell ref="C5:C6"/>
    <mergeCell ref="F5:F6"/>
    <mergeCell ref="Q5:Q6"/>
    <mergeCell ref="R5:R6"/>
    <mergeCell ref="S5:S6"/>
    <mergeCell ref="T5:T6"/>
    <mergeCell ref="H5:H6"/>
    <mergeCell ref="I5:I6"/>
    <mergeCell ref="J5:J6"/>
    <mergeCell ref="K5:K6"/>
    <mergeCell ref="L5:L6"/>
    <mergeCell ref="M5:M6"/>
    <mergeCell ref="N5:N6"/>
    <mergeCell ref="O5:O6"/>
    <mergeCell ref="P5:P6"/>
  </mergeCells>
  <phoneticPr fontId="31" type="noConversion"/>
  <conditionalFormatting sqref="B1:B9 B93:B99 B101:B103 B11:B14 B21:B24 B105:B1048576 B26 B39:B45 B52:B56 B60 B77:B91 B16 B18:B19 B28:B37 B62 B65:B73">
    <cfRule type="cellIs" dxfId="78" priority="87" operator="equal">
      <formula>"FOC"</formula>
    </cfRule>
    <cfRule type="cellIs" dxfId="77" priority="88" operator="equal">
      <formula>"NO REPAIR"</formula>
    </cfRule>
  </conditionalFormatting>
  <conditionalFormatting sqref="B15">
    <cfRule type="cellIs" dxfId="76" priority="67" operator="equal">
      <formula>"FOC"</formula>
    </cfRule>
    <cfRule type="cellIs" dxfId="75" priority="68" operator="equal">
      <formula>"NO REPAIR"</formula>
    </cfRule>
  </conditionalFormatting>
  <conditionalFormatting sqref="B46">
    <cfRule type="cellIs" dxfId="74" priority="65" operator="equal">
      <formula>"FOC"</formula>
    </cfRule>
    <cfRule type="cellIs" dxfId="73" priority="66" operator="equal">
      <formula>"NO REPAIR"</formula>
    </cfRule>
  </conditionalFormatting>
  <conditionalFormatting sqref="B92">
    <cfRule type="cellIs" dxfId="72" priority="61" operator="equal">
      <formula>"FOC"</formula>
    </cfRule>
    <cfRule type="cellIs" dxfId="71" priority="62" operator="equal">
      <formula>"NO REPAIR"</formula>
    </cfRule>
  </conditionalFormatting>
  <conditionalFormatting sqref="B100">
    <cfRule type="cellIs" dxfId="70" priority="59" operator="equal">
      <formula>"FOC"</formula>
    </cfRule>
    <cfRule type="cellIs" dxfId="69" priority="60" operator="equal">
      <formula>"NO REPAIR"</formula>
    </cfRule>
  </conditionalFormatting>
  <conditionalFormatting sqref="B104">
    <cfRule type="cellIs" dxfId="68" priority="57" operator="equal">
      <formula>"FOC"</formula>
    </cfRule>
    <cfRule type="cellIs" dxfId="67" priority="58" operator="equal">
      <formula>"NO REPAIR"</formula>
    </cfRule>
  </conditionalFormatting>
  <conditionalFormatting sqref="B10">
    <cfRule type="cellIs" dxfId="66" priority="55" operator="equal">
      <formula>"FOC"</formula>
    </cfRule>
    <cfRule type="cellIs" dxfId="65" priority="56" operator="equal">
      <formula>"NO REPAIR"</formula>
    </cfRule>
  </conditionalFormatting>
  <conditionalFormatting sqref="B20">
    <cfRule type="cellIs" dxfId="64" priority="51" operator="equal">
      <formula>"FOC"</formula>
    </cfRule>
    <cfRule type="cellIs" dxfId="63" priority="52" operator="equal">
      <formula>"NO REPAIR"</formula>
    </cfRule>
  </conditionalFormatting>
  <conditionalFormatting sqref="B27">
    <cfRule type="cellIs" dxfId="62" priority="43" operator="equal">
      <formula>"FOC"</formula>
    </cfRule>
    <cfRule type="cellIs" dxfId="61" priority="44" operator="equal">
      <formula>"NO REPAIR"</formula>
    </cfRule>
  </conditionalFormatting>
  <conditionalFormatting sqref="B25">
    <cfRule type="cellIs" dxfId="60" priority="41" operator="equal">
      <formula>"FOC"</formula>
    </cfRule>
    <cfRule type="cellIs" dxfId="59" priority="42" operator="equal">
      <formula>"NO REPAIR"</formula>
    </cfRule>
  </conditionalFormatting>
  <conditionalFormatting sqref="B58">
    <cfRule type="cellIs" dxfId="58" priority="33" operator="equal">
      <formula>"FOC"</formula>
    </cfRule>
    <cfRule type="cellIs" dxfId="57" priority="34" operator="equal">
      <formula>"NO REPAIR"</formula>
    </cfRule>
  </conditionalFormatting>
  <conditionalFormatting sqref="B57">
    <cfRule type="cellIs" dxfId="56" priority="35" operator="equal">
      <formula>"FOC"</formula>
    </cfRule>
    <cfRule type="cellIs" dxfId="55" priority="36" operator="equal">
      <formula>"NO REPAIR"</formula>
    </cfRule>
  </conditionalFormatting>
  <conditionalFormatting sqref="B59">
    <cfRule type="cellIs" dxfId="54" priority="31" operator="equal">
      <formula>"FOC"</formula>
    </cfRule>
    <cfRule type="cellIs" dxfId="53" priority="32" operator="equal">
      <formula>"NO REPAIR"</formula>
    </cfRule>
  </conditionalFormatting>
  <conditionalFormatting sqref="B75">
    <cfRule type="cellIs" dxfId="50" priority="27" operator="equal">
      <formula>"FOC"</formula>
    </cfRule>
    <cfRule type="cellIs" dxfId="49" priority="28" operator="equal">
      <formula>"NO REPAIR"</formula>
    </cfRule>
  </conditionalFormatting>
  <conditionalFormatting sqref="B76">
    <cfRule type="cellIs" dxfId="48" priority="25" operator="equal">
      <formula>"FOC"</formula>
    </cfRule>
    <cfRule type="cellIs" dxfId="47" priority="26" operator="equal">
      <formula>"NO REPAIR"</formula>
    </cfRule>
  </conditionalFormatting>
  <conditionalFormatting sqref="B17">
    <cfRule type="cellIs" dxfId="46" priority="23" operator="equal">
      <formula>"FOC"</formula>
    </cfRule>
    <cfRule type="cellIs" dxfId="45" priority="24" operator="equal">
      <formula>"NO REPAIR"</formula>
    </cfRule>
  </conditionalFormatting>
  <conditionalFormatting sqref="B38">
    <cfRule type="cellIs" dxfId="44" priority="19" operator="equal">
      <formula>"FOC"</formula>
    </cfRule>
    <cfRule type="cellIs" dxfId="43" priority="20" operator="equal">
      <formula>"NO REPAIR"</formula>
    </cfRule>
  </conditionalFormatting>
  <conditionalFormatting sqref="B47">
    <cfRule type="cellIs" dxfId="42" priority="17" operator="equal">
      <formula>"FOC"</formula>
    </cfRule>
    <cfRule type="cellIs" dxfId="41" priority="18" operator="equal">
      <formula>"NO REPAIR"</formula>
    </cfRule>
  </conditionalFormatting>
  <conditionalFormatting sqref="B48">
    <cfRule type="cellIs" dxfId="40" priority="15" operator="equal">
      <formula>"FOC"</formula>
    </cfRule>
    <cfRule type="cellIs" dxfId="39" priority="16" operator="equal">
      <formula>"NO REPAIR"</formula>
    </cfRule>
  </conditionalFormatting>
  <conditionalFormatting sqref="B49">
    <cfRule type="cellIs" dxfId="38" priority="13" operator="equal">
      <formula>"FOC"</formula>
    </cfRule>
    <cfRule type="cellIs" dxfId="37" priority="14" operator="equal">
      <formula>"NO REPAIR"</formula>
    </cfRule>
  </conditionalFormatting>
  <conditionalFormatting sqref="B50">
    <cfRule type="cellIs" dxfId="36" priority="11" operator="equal">
      <formula>"FOC"</formula>
    </cfRule>
    <cfRule type="cellIs" dxfId="35" priority="12" operator="equal">
      <formula>"NO REPAIR"</formula>
    </cfRule>
  </conditionalFormatting>
  <conditionalFormatting sqref="B51">
    <cfRule type="cellIs" dxfId="34" priority="9" operator="equal">
      <formula>"FOC"</formula>
    </cfRule>
    <cfRule type="cellIs" dxfId="33" priority="10" operator="equal">
      <formula>"NO REPAIR"</formula>
    </cfRule>
  </conditionalFormatting>
  <conditionalFormatting sqref="B61">
    <cfRule type="cellIs" dxfId="32" priority="7" operator="equal">
      <formula>"FOC"</formula>
    </cfRule>
    <cfRule type="cellIs" dxfId="31" priority="8" operator="equal">
      <formula>"NO REPAIR"</formula>
    </cfRule>
  </conditionalFormatting>
  <conditionalFormatting sqref="B63">
    <cfRule type="cellIs" dxfId="30" priority="5" operator="equal">
      <formula>"FOC"</formula>
    </cfRule>
    <cfRule type="cellIs" dxfId="29" priority="6" operator="equal">
      <formula>"NO REPAIR"</formula>
    </cfRule>
  </conditionalFormatting>
  <conditionalFormatting sqref="B64">
    <cfRule type="cellIs" dxfId="28" priority="3" operator="equal">
      <formula>"FOC"</formula>
    </cfRule>
    <cfRule type="cellIs" dxfId="27" priority="4" operator="equal">
      <formula>"NO REPAIR"</formula>
    </cfRule>
  </conditionalFormatting>
  <conditionalFormatting sqref="B74">
    <cfRule type="cellIs" dxfId="3" priority="1" operator="equal">
      <formula>"FOC"</formula>
    </cfRule>
    <cfRule type="cellIs" dxfId="2" priority="2" operator="equal">
      <formula>"NO REPAIR"</formula>
    </cfRule>
  </conditionalFormatting>
  <printOptions horizontalCentered="1"/>
  <pageMargins left="0" right="0" top="0" bottom="0" header="0" footer="0"/>
  <pageSetup paperSize="9" scale="37" firstPageNumber="0" orientation="landscape" useFirstPageNumber="1" horizontalDpi="300" verticalDpi="300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'Sales Support'!$F$2:$F$4</xm:f>
          </x14:formula1>
          <xm:sqref>AI115:AI1048576 AI1:AI113</xm:sqref>
        </x14:dataValidation>
        <x14:dataValidation type="list" allowBlank="1" showInputMessage="1" showErrorMessage="1">
          <x14:formula1>
            <xm:f>'Sales Support'!$A$2:$A$107</xm:f>
          </x14:formula1>
          <xm:sqref>AH43 AH14 AH12 AH100:AH113 AH22 AH45:AH46 AH61 AH64:AH66 AH57 AH16:AH18 AH78 AH26:AH29 AH7:AH9 AH82:AH85 AH91:AH98</xm:sqref>
        </x14:dataValidation>
        <x14:dataValidation type="list" allowBlank="1" showInputMessage="1" showErrorMessage="1">
          <x14:formula1>
            <xm:f>Data!$D$1:$D$7</xm:f>
          </x14:formula1>
          <xm:sqref>L7:L113</xm:sqref>
        </x14:dataValidation>
        <x14:dataValidation type="list" allowBlank="1" showInputMessage="1" showErrorMessage="1">
          <x14:formula1>
            <xm:f>Data!$A:$A</xm:f>
          </x14:formula1>
          <xm:sqref>G1:G1048576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AL65512"/>
  <sheetViews>
    <sheetView zoomScale="68" zoomScaleNormal="68" zoomScaleSheetLayoutView="10" workbookViewId="0">
      <pane xSplit="4" ySplit="6" topLeftCell="E7" activePane="bottomRight" state="frozen"/>
      <selection activeCell="Y52" sqref="Y52"/>
      <selection pane="topRight" activeCell="Y52" sqref="Y52"/>
      <selection pane="bottomLeft" activeCell="Y52" sqref="Y52"/>
      <selection pane="bottomRight" activeCell="AL7" sqref="AL7"/>
    </sheetView>
  </sheetViews>
  <sheetFormatPr defaultColWidth="8.5" defaultRowHeight="15.95" customHeight="1"/>
  <cols>
    <col min="1" max="1" width="18.125" style="33" customWidth="1"/>
    <col min="2" max="2" width="11.75" style="34" bestFit="1" customWidth="1"/>
    <col min="3" max="3" width="18.125" style="34" bestFit="1" customWidth="1"/>
    <col min="4" max="4" width="26.25" style="146" bestFit="1" customWidth="1"/>
    <col min="5" max="5" width="26.25" style="675" customWidth="1"/>
    <col min="6" max="6" width="12.375" style="34" bestFit="1" customWidth="1"/>
    <col min="7" max="8" width="6.75" style="33" customWidth="1"/>
    <col min="9" max="9" width="6.75" style="34" customWidth="1"/>
    <col min="10" max="10" width="6.75" style="33" customWidth="1"/>
    <col min="11" max="11" width="10.5" style="102" bestFit="1" customWidth="1"/>
    <col min="12" max="12" width="12.75" style="45" customWidth="1"/>
    <col min="13" max="13" width="22.5" style="45" bestFit="1" customWidth="1"/>
    <col min="14" max="14" width="10.375" style="45" bestFit="1" customWidth="1"/>
    <col min="15" max="15" width="90.25" style="102" customWidth="1"/>
    <col min="16" max="16" width="4.25" style="34" customWidth="1"/>
    <col min="17" max="17" width="15.625" style="83" bestFit="1" customWidth="1"/>
    <col min="18" max="18" width="8.75" style="33" customWidth="1"/>
    <col min="19" max="19" width="15.625" style="84" customWidth="1"/>
    <col min="20" max="20" width="17.875" style="312" bestFit="1" customWidth="1"/>
    <col min="21" max="21" width="16.25" style="33" bestFit="1" customWidth="1"/>
    <col min="22" max="22" width="16.25" style="95" bestFit="1" customWidth="1"/>
    <col min="23" max="23" width="8.375" style="33" bestFit="1" customWidth="1"/>
    <col min="24" max="24" width="19" style="33" bestFit="1" customWidth="1"/>
    <col min="25" max="25" width="13.375" style="33" bestFit="1" customWidth="1"/>
    <col min="26" max="26" width="19.125" style="33" bestFit="1" customWidth="1"/>
    <col min="27" max="27" width="18.875" style="87" bestFit="1" customWidth="1"/>
    <col min="28" max="28" width="22.875" style="87" bestFit="1" customWidth="1"/>
    <col min="29" max="29" width="26.625" style="87" bestFit="1" customWidth="1"/>
    <col min="30" max="30" width="11.375" style="77" bestFit="1" customWidth="1"/>
    <col min="31" max="31" width="4" style="26" bestFit="1" customWidth="1"/>
    <col min="32" max="32" width="14.25" style="30" bestFit="1" customWidth="1"/>
    <col min="33" max="33" width="21.375" style="33" hidden="1" customWidth="1"/>
    <col min="34" max="34" width="7.875" style="33" hidden="1" customWidth="1"/>
    <col min="35" max="35" width="17" style="83" customWidth="1"/>
    <col min="36" max="37" width="25.25" style="33" customWidth="1"/>
    <col min="38" max="38" width="35.375" style="33" bestFit="1" customWidth="1"/>
    <col min="39" max="249" width="8.5" style="4" customWidth="1"/>
    <col min="250" max="16384" width="8.5" style="4"/>
  </cols>
  <sheetData>
    <row r="1" spans="1:38" ht="15">
      <c r="A1" s="69" t="str">
        <f>DS!A1</f>
        <v>BVLGARI – Plaza Indonesia</v>
      </c>
      <c r="B1" s="70"/>
      <c r="C1" s="78"/>
      <c r="D1" s="71"/>
      <c r="E1" s="37"/>
      <c r="F1" s="78"/>
      <c r="G1" s="30"/>
      <c r="H1" s="30"/>
      <c r="K1" s="73"/>
      <c r="L1" s="37"/>
      <c r="M1" s="72"/>
      <c r="N1" s="72"/>
      <c r="O1" s="73"/>
      <c r="P1" s="70"/>
      <c r="Q1" s="69"/>
      <c r="R1" s="74"/>
      <c r="S1" s="75"/>
      <c r="T1" s="311"/>
      <c r="U1" s="69"/>
      <c r="V1" s="75"/>
      <c r="W1" s="30"/>
      <c r="X1" s="30"/>
      <c r="Y1" s="69"/>
      <c r="Z1" s="69"/>
      <c r="AA1" s="76"/>
      <c r="AB1" s="76"/>
      <c r="AE1" s="37"/>
    </row>
    <row r="2" spans="1:38" ht="19.350000000000001" customHeight="1">
      <c r="A2" s="69" t="s">
        <v>629</v>
      </c>
      <c r="B2" s="70"/>
      <c r="D2" s="71"/>
      <c r="E2" s="37"/>
      <c r="K2" s="82"/>
      <c r="L2" s="79"/>
      <c r="M2" s="80"/>
      <c r="N2" s="81"/>
      <c r="O2" s="82"/>
      <c r="U2" s="85"/>
      <c r="V2" s="86"/>
      <c r="Y2" s="85"/>
      <c r="Z2" s="85"/>
      <c r="AE2" s="88"/>
    </row>
    <row r="3" spans="1:38" ht="19.350000000000001" customHeight="1">
      <c r="A3" s="90" t="s">
        <v>611</v>
      </c>
      <c r="B3" s="154">
        <f>DS!B3</f>
        <v>46266</v>
      </c>
      <c r="C3" s="100"/>
      <c r="D3" s="91"/>
      <c r="E3" s="679"/>
      <c r="F3" s="100"/>
      <c r="K3" s="25"/>
      <c r="L3" s="26"/>
      <c r="M3" s="92"/>
      <c r="N3" s="93"/>
      <c r="O3" s="25"/>
      <c r="R3" s="94"/>
      <c r="U3" s="85"/>
      <c r="V3" s="86"/>
      <c r="Y3" s="95"/>
      <c r="Z3" s="95"/>
      <c r="AA3" s="96"/>
      <c r="AB3" s="96"/>
      <c r="AC3" s="96"/>
      <c r="AD3" s="98"/>
      <c r="AF3" s="99"/>
    </row>
    <row r="4" spans="1:38" ht="17.100000000000001" customHeight="1">
      <c r="A4" s="74"/>
      <c r="B4" s="78"/>
      <c r="C4" s="106"/>
      <c r="D4" s="35"/>
      <c r="E4" s="674"/>
      <c r="F4" s="106"/>
      <c r="L4" s="26"/>
      <c r="M4" s="101"/>
      <c r="N4" s="101"/>
      <c r="Q4" s="103"/>
      <c r="R4" s="94"/>
      <c r="S4" s="104"/>
      <c r="T4" s="311"/>
      <c r="U4" s="89"/>
      <c r="V4" s="105"/>
      <c r="W4" s="30"/>
      <c r="X4" s="30"/>
      <c r="Y4" s="95"/>
      <c r="Z4" s="95"/>
      <c r="AA4" s="96"/>
      <c r="AB4" s="96"/>
      <c r="AC4" s="96"/>
      <c r="AD4" s="98"/>
      <c r="AF4" s="99" t="s">
        <v>638</v>
      </c>
    </row>
    <row r="5" spans="1:38" ht="17.100000000000001" customHeight="1">
      <c r="A5" s="921" t="s">
        <v>1</v>
      </c>
      <c r="B5" s="952" t="s">
        <v>2</v>
      </c>
      <c r="C5" s="954" t="s">
        <v>620</v>
      </c>
      <c r="D5" s="955" t="s">
        <v>3</v>
      </c>
      <c r="E5" s="937" t="s">
        <v>794</v>
      </c>
      <c r="F5" s="937" t="s">
        <v>17</v>
      </c>
      <c r="G5" s="937" t="s">
        <v>4</v>
      </c>
      <c r="H5" s="937" t="s">
        <v>5</v>
      </c>
      <c r="I5" s="937" t="s">
        <v>621</v>
      </c>
      <c r="J5" s="937" t="s">
        <v>622</v>
      </c>
      <c r="K5" s="937" t="s">
        <v>614</v>
      </c>
      <c r="L5" s="951" t="s">
        <v>6</v>
      </c>
      <c r="M5" s="952" t="s">
        <v>613</v>
      </c>
      <c r="N5" s="952" t="s">
        <v>612</v>
      </c>
      <c r="O5" s="953" t="s">
        <v>7</v>
      </c>
      <c r="P5" s="951" t="s">
        <v>8</v>
      </c>
      <c r="Q5" s="957" t="s">
        <v>9</v>
      </c>
      <c r="R5" s="958" t="s">
        <v>10</v>
      </c>
      <c r="S5" s="931" t="s">
        <v>11</v>
      </c>
      <c r="T5" s="959" t="s">
        <v>12</v>
      </c>
      <c r="U5" s="960"/>
      <c r="V5" s="960"/>
      <c r="W5" s="960"/>
      <c r="X5" s="960"/>
      <c r="Y5" s="960"/>
      <c r="Z5" s="960"/>
      <c r="AA5" s="961"/>
      <c r="AB5" s="962" t="s">
        <v>44</v>
      </c>
      <c r="AC5" s="965" t="s">
        <v>617</v>
      </c>
      <c r="AD5" s="938" t="s">
        <v>618</v>
      </c>
      <c r="AE5" s="935" t="s">
        <v>610</v>
      </c>
      <c r="AF5" s="940" t="s">
        <v>619</v>
      </c>
      <c r="AG5" s="935" t="s">
        <v>627</v>
      </c>
      <c r="AH5" s="937" t="s">
        <v>752</v>
      </c>
      <c r="AI5" s="963" t="s">
        <v>630</v>
      </c>
      <c r="AJ5" s="935" t="s">
        <v>625</v>
      </c>
      <c r="AK5" s="937" t="s">
        <v>627</v>
      </c>
      <c r="AL5" s="935" t="s">
        <v>623</v>
      </c>
    </row>
    <row r="6" spans="1:38" ht="17.100000000000001" customHeight="1">
      <c r="A6" s="922"/>
      <c r="B6" s="922"/>
      <c r="C6" s="924"/>
      <c r="D6" s="956"/>
      <c r="E6" s="956"/>
      <c r="F6" s="956"/>
      <c r="G6" s="936"/>
      <c r="H6" s="936"/>
      <c r="I6" s="936"/>
      <c r="J6" s="936"/>
      <c r="K6" s="936"/>
      <c r="L6" s="926"/>
      <c r="M6" s="922"/>
      <c r="N6" s="922"/>
      <c r="O6" s="924"/>
      <c r="P6" s="926"/>
      <c r="Q6" s="928"/>
      <c r="R6" s="946"/>
      <c r="S6" s="932"/>
      <c r="T6" s="313" t="s">
        <v>624</v>
      </c>
      <c r="U6" s="158" t="s">
        <v>18</v>
      </c>
      <c r="V6" s="156" t="s">
        <v>19</v>
      </c>
      <c r="W6" s="158" t="s">
        <v>13</v>
      </c>
      <c r="X6" s="158" t="s">
        <v>615</v>
      </c>
      <c r="Y6" s="158" t="s">
        <v>14</v>
      </c>
      <c r="Z6" s="158" t="s">
        <v>616</v>
      </c>
      <c r="AA6" s="159" t="s">
        <v>15</v>
      </c>
      <c r="AB6" s="920"/>
      <c r="AC6" s="966"/>
      <c r="AD6" s="939"/>
      <c r="AE6" s="936"/>
      <c r="AF6" s="941"/>
      <c r="AG6" s="936"/>
      <c r="AH6" s="936"/>
      <c r="AI6" s="964"/>
      <c r="AJ6" s="936"/>
      <c r="AK6" s="936"/>
      <c r="AL6" s="936"/>
    </row>
    <row r="7" spans="1:38" s="33" customFormat="1" ht="15.95" customHeight="1">
      <c r="A7" s="718">
        <v>46269</v>
      </c>
      <c r="B7" s="737" t="s">
        <v>877</v>
      </c>
      <c r="C7" s="737" t="s">
        <v>878</v>
      </c>
      <c r="D7" s="738" t="s">
        <v>879</v>
      </c>
      <c r="E7" s="725">
        <v>13209277</v>
      </c>
      <c r="F7" s="568" t="s">
        <v>302</v>
      </c>
      <c r="G7" s="737"/>
      <c r="H7" s="737">
        <v>1</v>
      </c>
      <c r="I7" s="737"/>
      <c r="J7" s="737">
        <v>1</v>
      </c>
      <c r="K7" s="568" t="s">
        <v>89</v>
      </c>
      <c r="L7" s="737">
        <v>358349</v>
      </c>
      <c r="M7" s="721" t="s">
        <v>880</v>
      </c>
      <c r="N7" s="737" t="s">
        <v>881</v>
      </c>
      <c r="O7" s="739" t="s">
        <v>882</v>
      </c>
      <c r="P7" s="737">
        <v>1</v>
      </c>
      <c r="Q7" s="740">
        <v>235200000</v>
      </c>
      <c r="R7" s="857">
        <f>(Q7-S7)/Q7*100</f>
        <v>0</v>
      </c>
      <c r="S7" s="740">
        <f>Q7</f>
        <v>235200000</v>
      </c>
      <c r="T7" s="737" t="s">
        <v>883</v>
      </c>
      <c r="U7" s="740"/>
      <c r="V7" s="756"/>
      <c r="W7" s="740"/>
      <c r="X7" s="737"/>
      <c r="Y7" s="737"/>
      <c r="Z7" s="737"/>
      <c r="AA7" s="240">
        <f>V7*1.7%</f>
        <v>0</v>
      </c>
      <c r="AB7" s="240">
        <f t="shared" ref="AB7:AB43" si="0">(S7/1.11)</f>
        <v>211891891.89189187</v>
      </c>
      <c r="AC7" s="279">
        <f>(S7/1.11)</f>
        <v>211891891.89189187</v>
      </c>
      <c r="AD7" s="275" t="s">
        <v>769</v>
      </c>
      <c r="AE7" s="270" t="s">
        <v>769</v>
      </c>
      <c r="AF7" s="270" t="s">
        <v>769</v>
      </c>
      <c r="AG7" s="277"/>
      <c r="AH7" s="263"/>
      <c r="AI7" s="684">
        <v>12000000</v>
      </c>
      <c r="AJ7" s="269" t="s">
        <v>898</v>
      </c>
      <c r="AK7" s="270">
        <v>807567</v>
      </c>
      <c r="AL7" s="773" t="s">
        <v>935</v>
      </c>
    </row>
    <row r="8" spans="1:38" s="33" customFormat="1" ht="15.95" customHeight="1">
      <c r="A8" s="718"/>
      <c r="B8" s="774"/>
      <c r="C8" s="774"/>
      <c r="D8" s="775"/>
      <c r="E8" s="725"/>
      <c r="F8" s="774"/>
      <c r="G8" s="774"/>
      <c r="H8" s="774"/>
      <c r="I8" s="774"/>
      <c r="J8" s="721"/>
      <c r="K8" s="779"/>
      <c r="L8" s="721"/>
      <c r="M8" s="721"/>
      <c r="N8" s="721"/>
      <c r="O8" s="776"/>
      <c r="P8" s="774"/>
      <c r="Q8" s="777"/>
      <c r="R8" s="238" t="e">
        <f t="shared" ref="R8:R43" si="1">(Q8-S8)/Q8*100</f>
        <v>#DIV/0!</v>
      </c>
      <c r="S8" s="237"/>
      <c r="T8" s="314"/>
      <c r="U8" s="239"/>
      <c r="V8" s="237"/>
      <c r="W8" s="234"/>
      <c r="X8" s="234"/>
      <c r="Y8" s="234"/>
      <c r="Z8" s="234"/>
      <c r="AA8" s="240">
        <f>V8*1.7%</f>
        <v>0</v>
      </c>
      <c r="AB8" s="240">
        <f t="shared" si="0"/>
        <v>0</v>
      </c>
      <c r="AC8" s="276"/>
      <c r="AD8" s="275"/>
      <c r="AE8" s="270"/>
      <c r="AF8" s="270"/>
      <c r="AG8" s="277"/>
      <c r="AH8" s="263"/>
      <c r="AI8" s="684"/>
      <c r="AJ8" s="270"/>
      <c r="AK8" s="270">
        <v>807617</v>
      </c>
      <c r="AL8" s="733"/>
    </row>
    <row r="9" spans="1:38" s="33" customFormat="1" ht="15.95" customHeight="1">
      <c r="A9" s="718"/>
      <c r="B9" s="774"/>
      <c r="C9" s="835"/>
      <c r="D9" s="775"/>
      <c r="E9" s="725"/>
      <c r="F9" s="774"/>
      <c r="G9" s="774"/>
      <c r="H9" s="774"/>
      <c r="I9" s="774"/>
      <c r="J9" s="721"/>
      <c r="K9" s="779"/>
      <c r="L9" s="721"/>
      <c r="M9" s="721"/>
      <c r="N9" s="721"/>
      <c r="O9" s="776"/>
      <c r="P9" s="774"/>
      <c r="Q9" s="777"/>
      <c r="R9" s="238" t="e">
        <f t="shared" si="1"/>
        <v>#DIV/0!</v>
      </c>
      <c r="S9" s="237"/>
      <c r="T9" s="314"/>
      <c r="U9" s="239"/>
      <c r="V9" s="237"/>
      <c r="W9" s="234"/>
      <c r="X9" s="234"/>
      <c r="Y9" s="234"/>
      <c r="Z9" s="234"/>
      <c r="AA9" s="240">
        <f t="shared" ref="AA9:AA43" si="2">V9*1.5%</f>
        <v>0</v>
      </c>
      <c r="AB9" s="240">
        <f t="shared" si="0"/>
        <v>0</v>
      </c>
      <c r="AC9" s="276"/>
      <c r="AD9" s="275"/>
      <c r="AE9" s="270"/>
      <c r="AF9" s="270"/>
      <c r="AG9" s="277"/>
      <c r="AH9" s="263"/>
      <c r="AI9" s="323"/>
      <c r="AJ9" s="270"/>
      <c r="AK9" s="667">
        <v>806856</v>
      </c>
      <c r="AL9" s="721"/>
    </row>
    <row r="10" spans="1:38" s="33" customFormat="1" ht="15.95" customHeight="1">
      <c r="A10" s="718"/>
      <c r="B10" s="774"/>
      <c r="C10" s="774"/>
      <c r="D10" s="775"/>
      <c r="E10" s="720"/>
      <c r="F10" s="774"/>
      <c r="G10" s="774"/>
      <c r="H10" s="774"/>
      <c r="I10" s="774"/>
      <c r="J10" s="721"/>
      <c r="K10" s="721"/>
      <c r="L10" s="721"/>
      <c r="M10" s="721"/>
      <c r="N10" s="721"/>
      <c r="O10" s="776"/>
      <c r="P10" s="774"/>
      <c r="Q10" s="777"/>
      <c r="R10" s="238" t="e">
        <f t="shared" si="1"/>
        <v>#DIV/0!</v>
      </c>
      <c r="S10" s="237"/>
      <c r="T10" s="314"/>
      <c r="U10" s="239"/>
      <c r="V10" s="237"/>
      <c r="W10" s="234"/>
      <c r="X10" s="234"/>
      <c r="Y10" s="234"/>
      <c r="Z10" s="234"/>
      <c r="AA10" s="240">
        <f>V10*1.3%</f>
        <v>0</v>
      </c>
      <c r="AB10" s="240">
        <f t="shared" si="0"/>
        <v>0</v>
      </c>
      <c r="AC10" s="276"/>
      <c r="AD10" s="275"/>
      <c r="AE10" s="270"/>
      <c r="AF10" s="270"/>
      <c r="AG10" s="277"/>
      <c r="AH10" s="263"/>
      <c r="AI10" s="684"/>
      <c r="AJ10" s="270"/>
      <c r="AK10" s="568">
        <v>806422</v>
      </c>
      <c r="AL10" s="733"/>
    </row>
    <row r="11" spans="1:38" s="33" customFormat="1" ht="15.95" customHeight="1">
      <c r="A11" s="778"/>
      <c r="B11" s="774"/>
      <c r="C11" s="774"/>
      <c r="D11" s="775"/>
      <c r="E11" s="725"/>
      <c r="F11" s="774"/>
      <c r="G11" s="774"/>
      <c r="H11" s="774"/>
      <c r="I11" s="774"/>
      <c r="J11" s="721"/>
      <c r="K11" s="779"/>
      <c r="L11" s="721"/>
      <c r="M11" s="721"/>
      <c r="N11" s="721"/>
      <c r="O11" s="776"/>
      <c r="P11" s="774"/>
      <c r="Q11" s="777"/>
      <c r="R11" s="238" t="e">
        <f t="shared" si="1"/>
        <v>#DIV/0!</v>
      </c>
      <c r="S11" s="237"/>
      <c r="T11" s="314"/>
      <c r="U11" s="239"/>
      <c r="V11" s="237"/>
      <c r="W11" s="234"/>
      <c r="X11" s="234"/>
      <c r="Y11" s="234"/>
      <c r="Z11" s="234"/>
      <c r="AA11" s="240">
        <f t="shared" si="2"/>
        <v>0</v>
      </c>
      <c r="AB11" s="240">
        <f t="shared" si="0"/>
        <v>0</v>
      </c>
      <c r="AC11" s="276"/>
      <c r="AD11" s="275"/>
      <c r="AE11" s="270"/>
      <c r="AF11" s="270"/>
      <c r="AG11" s="277"/>
      <c r="AH11" s="263"/>
      <c r="AI11" s="323"/>
      <c r="AJ11" s="270"/>
      <c r="AK11" s="568"/>
      <c r="AL11" s="721"/>
    </row>
    <row r="12" spans="1:38" s="33" customFormat="1" ht="15.95" customHeight="1">
      <c r="A12" s="780"/>
      <c r="B12" s="568"/>
      <c r="C12" s="568"/>
      <c r="D12" s="719"/>
      <c r="E12" s="725"/>
      <c r="F12" s="721"/>
      <c r="G12" s="568"/>
      <c r="H12" s="568"/>
      <c r="I12" s="568"/>
      <c r="J12" s="568"/>
      <c r="K12" s="721"/>
      <c r="L12" s="781"/>
      <c r="M12" s="737"/>
      <c r="N12" s="737"/>
      <c r="O12" s="782"/>
      <c r="P12" s="783"/>
      <c r="Q12" s="784"/>
      <c r="R12" s="238" t="e">
        <f t="shared" si="1"/>
        <v>#DIV/0!</v>
      </c>
      <c r="S12" s="562"/>
      <c r="T12" s="563"/>
      <c r="U12" s="564"/>
      <c r="V12" s="562"/>
      <c r="W12" s="38"/>
      <c r="X12" s="38"/>
      <c r="Y12" s="38"/>
      <c r="Z12" s="38"/>
      <c r="AA12" s="240">
        <f t="shared" si="2"/>
        <v>0</v>
      </c>
      <c r="AB12" s="240">
        <f t="shared" si="0"/>
        <v>0</v>
      </c>
      <c r="AC12" s="576"/>
      <c r="AD12" s="577"/>
      <c r="AE12" s="284"/>
      <c r="AF12" s="284"/>
      <c r="AG12" s="277"/>
      <c r="AH12" s="277"/>
      <c r="AI12" s="578"/>
      <c r="AJ12" s="335"/>
      <c r="AK12" s="737"/>
      <c r="AL12" s="737"/>
    </row>
    <row r="13" spans="1:38" s="33" customFormat="1" ht="15.95" customHeight="1">
      <c r="A13" s="785"/>
      <c r="B13" s="783"/>
      <c r="C13" s="783"/>
      <c r="D13" s="786"/>
      <c r="E13" s="725"/>
      <c r="F13" s="783"/>
      <c r="G13" s="783"/>
      <c r="H13" s="783"/>
      <c r="I13" s="783"/>
      <c r="J13" s="737"/>
      <c r="K13" s="781"/>
      <c r="L13" s="737"/>
      <c r="M13" s="737"/>
      <c r="N13" s="737"/>
      <c r="O13" s="782"/>
      <c r="P13" s="783"/>
      <c r="Q13" s="784"/>
      <c r="R13" s="238" t="e">
        <f t="shared" si="1"/>
        <v>#DIV/0!</v>
      </c>
      <c r="S13" s="562"/>
      <c r="T13" s="563"/>
      <c r="U13" s="564"/>
      <c r="V13" s="562"/>
      <c r="W13" s="38"/>
      <c r="X13" s="38"/>
      <c r="Y13" s="38"/>
      <c r="Z13" s="38"/>
      <c r="AA13" s="240">
        <f t="shared" si="2"/>
        <v>0</v>
      </c>
      <c r="AB13" s="240">
        <f t="shared" si="0"/>
        <v>0</v>
      </c>
      <c r="AC13" s="576"/>
      <c r="AD13" s="577"/>
      <c r="AE13" s="284"/>
      <c r="AF13" s="284"/>
      <c r="AG13" s="277"/>
      <c r="AH13" s="277"/>
      <c r="AI13" s="578"/>
      <c r="AJ13" s="284"/>
      <c r="AK13" s="310"/>
      <c r="AL13" s="284"/>
    </row>
    <row r="14" spans="1:38" s="33" customFormat="1" ht="15.95" customHeight="1">
      <c r="A14" s="718"/>
      <c r="B14" s="729"/>
      <c r="C14" s="783"/>
      <c r="D14" s="786"/>
      <c r="E14" s="725"/>
      <c r="F14" s="774"/>
      <c r="G14" s="783"/>
      <c r="H14" s="783"/>
      <c r="I14" s="783"/>
      <c r="J14" s="737"/>
      <c r="K14" s="737"/>
      <c r="L14" s="737"/>
      <c r="M14" s="737"/>
      <c r="N14" s="737"/>
      <c r="O14" s="782"/>
      <c r="P14" s="783"/>
      <c r="Q14" s="784"/>
      <c r="R14" s="238" t="e">
        <f t="shared" si="1"/>
        <v>#DIV/0!</v>
      </c>
      <c r="S14" s="784"/>
      <c r="T14" s="563"/>
      <c r="U14" s="564"/>
      <c r="V14" s="784"/>
      <c r="W14" s="38"/>
      <c r="X14" s="38"/>
      <c r="Y14" s="38"/>
      <c r="Z14" s="38"/>
      <c r="AA14" s="240">
        <f>V14*0.15%</f>
        <v>0</v>
      </c>
      <c r="AB14" s="240">
        <f t="shared" si="0"/>
        <v>0</v>
      </c>
      <c r="AC14" s="576"/>
      <c r="AD14" s="577"/>
      <c r="AE14" s="284"/>
      <c r="AF14" s="284"/>
      <c r="AG14" s="277"/>
      <c r="AH14" s="277"/>
      <c r="AI14" s="691"/>
      <c r="AJ14" s="284"/>
      <c r="AK14" s="284"/>
      <c r="AL14" s="284"/>
    </row>
    <row r="15" spans="1:38" s="33" customFormat="1" ht="15.95" customHeight="1">
      <c r="A15" s="785"/>
      <c r="B15" s="783"/>
      <c r="C15" s="783"/>
      <c r="D15" s="786"/>
      <c r="E15" s="725"/>
      <c r="F15" s="783"/>
      <c r="G15" s="783"/>
      <c r="H15" s="783"/>
      <c r="I15" s="783"/>
      <c r="J15" s="737"/>
      <c r="K15" s="781"/>
      <c r="L15" s="737"/>
      <c r="M15" s="737"/>
      <c r="N15" s="737"/>
      <c r="O15" s="782"/>
      <c r="P15" s="783"/>
      <c r="Q15" s="784"/>
      <c r="R15" s="238" t="e">
        <f t="shared" si="1"/>
        <v>#DIV/0!</v>
      </c>
      <c r="S15" s="562"/>
      <c r="T15" s="563"/>
      <c r="U15" s="564"/>
      <c r="V15" s="562"/>
      <c r="W15" s="38"/>
      <c r="X15" s="38"/>
      <c r="Y15" s="38"/>
      <c r="Z15" s="38"/>
      <c r="AA15" s="240">
        <f t="shared" si="2"/>
        <v>0</v>
      </c>
      <c r="AB15" s="240">
        <f t="shared" si="0"/>
        <v>0</v>
      </c>
      <c r="AC15" s="576"/>
      <c r="AD15" s="577"/>
      <c r="AE15" s="284"/>
      <c r="AF15" s="284"/>
      <c r="AG15" s="277"/>
      <c r="AH15" s="277"/>
      <c r="AI15" s="578"/>
      <c r="AJ15" s="284"/>
      <c r="AK15" s="284"/>
      <c r="AL15" s="284"/>
    </row>
    <row r="16" spans="1:38" s="33" customFormat="1" ht="15.95" customHeight="1">
      <c r="A16" s="718"/>
      <c r="B16" s="783"/>
      <c r="C16" s="783"/>
      <c r="D16" s="786"/>
      <c r="E16" s="725"/>
      <c r="F16" s="774"/>
      <c r="G16" s="783"/>
      <c r="H16" s="783"/>
      <c r="I16" s="783"/>
      <c r="J16" s="737"/>
      <c r="K16" s="737"/>
      <c r="L16" s="737"/>
      <c r="M16" s="737"/>
      <c r="N16" s="737"/>
      <c r="O16" s="782"/>
      <c r="P16" s="783"/>
      <c r="Q16" s="784"/>
      <c r="R16" s="238" t="e">
        <f t="shared" si="1"/>
        <v>#DIV/0!</v>
      </c>
      <c r="S16" s="562"/>
      <c r="T16" s="563"/>
      <c r="U16" s="564"/>
      <c r="V16" s="562"/>
      <c r="W16" s="38"/>
      <c r="X16" s="38"/>
      <c r="Y16" s="38"/>
      <c r="Z16" s="38"/>
      <c r="AA16" s="240">
        <f t="shared" si="2"/>
        <v>0</v>
      </c>
      <c r="AB16" s="240">
        <f t="shared" si="0"/>
        <v>0</v>
      </c>
      <c r="AC16" s="576"/>
      <c r="AD16" s="577"/>
      <c r="AE16" s="284"/>
      <c r="AF16" s="284"/>
      <c r="AG16" s="277"/>
      <c r="AH16" s="277"/>
      <c r="AI16" s="684"/>
      <c r="AJ16" s="284"/>
      <c r="AK16" s="737"/>
      <c r="AL16" s="284"/>
    </row>
    <row r="17" spans="1:38" s="33" customFormat="1" ht="15.95" customHeight="1">
      <c r="A17" s="785"/>
      <c r="B17" s="783"/>
      <c r="C17" s="783"/>
      <c r="D17" s="786"/>
      <c r="E17" s="725"/>
      <c r="F17" s="783"/>
      <c r="G17" s="783"/>
      <c r="H17" s="783"/>
      <c r="I17" s="783"/>
      <c r="J17" s="737"/>
      <c r="K17" s="781"/>
      <c r="L17" s="737"/>
      <c r="M17" s="737"/>
      <c r="N17" s="737"/>
      <c r="O17" s="782"/>
      <c r="P17" s="783"/>
      <c r="Q17" s="784"/>
      <c r="R17" s="238" t="e">
        <f t="shared" si="1"/>
        <v>#DIV/0!</v>
      </c>
      <c r="S17" s="562"/>
      <c r="T17" s="563"/>
      <c r="U17" s="564"/>
      <c r="V17" s="562"/>
      <c r="W17" s="38"/>
      <c r="X17" s="38"/>
      <c r="Y17" s="38"/>
      <c r="Z17" s="38"/>
      <c r="AA17" s="240">
        <f t="shared" si="2"/>
        <v>0</v>
      </c>
      <c r="AB17" s="240">
        <f t="shared" si="0"/>
        <v>0</v>
      </c>
      <c r="AC17" s="576"/>
      <c r="AD17" s="577"/>
      <c r="AE17" s="284"/>
      <c r="AF17" s="284"/>
      <c r="AG17" s="277"/>
      <c r="AH17" s="277"/>
      <c r="AI17" s="578"/>
      <c r="AJ17" s="284"/>
      <c r="AK17" s="310"/>
      <c r="AL17" s="284"/>
    </row>
    <row r="18" spans="1:38" s="33" customFormat="1" ht="15.95" customHeight="1">
      <c r="A18" s="785"/>
      <c r="B18" s="783"/>
      <c r="C18" s="783"/>
      <c r="D18" s="786"/>
      <c r="E18" s="725"/>
      <c r="F18" s="783"/>
      <c r="G18" s="783"/>
      <c r="H18" s="783"/>
      <c r="I18" s="783"/>
      <c r="J18" s="737"/>
      <c r="K18" s="781"/>
      <c r="L18" s="737"/>
      <c r="M18" s="737"/>
      <c r="N18" s="737"/>
      <c r="O18" s="782"/>
      <c r="P18" s="783"/>
      <c r="Q18" s="784"/>
      <c r="R18" s="238" t="e">
        <f t="shared" si="1"/>
        <v>#DIV/0!</v>
      </c>
      <c r="S18" s="562"/>
      <c r="T18" s="563"/>
      <c r="U18" s="564"/>
      <c r="V18" s="562"/>
      <c r="W18" s="38"/>
      <c r="X18" s="38"/>
      <c r="Y18" s="38"/>
      <c r="Z18" s="38"/>
      <c r="AA18" s="240">
        <f t="shared" si="2"/>
        <v>0</v>
      </c>
      <c r="AB18" s="240">
        <f t="shared" si="0"/>
        <v>0</v>
      </c>
      <c r="AC18" s="576"/>
      <c r="AD18" s="577"/>
      <c r="AE18" s="284"/>
      <c r="AF18" s="284"/>
      <c r="AG18" s="277"/>
      <c r="AH18" s="277"/>
      <c r="AI18" s="578"/>
      <c r="AJ18" s="284"/>
      <c r="AK18" s="284"/>
      <c r="AL18" s="284"/>
    </row>
    <row r="19" spans="1:38" s="33" customFormat="1" ht="15.95" customHeight="1">
      <c r="A19" s="785"/>
      <c r="B19" s="783"/>
      <c r="C19" s="783"/>
      <c r="D19" s="786"/>
      <c r="E19" s="725"/>
      <c r="F19" s="783"/>
      <c r="G19" s="783"/>
      <c r="H19" s="783"/>
      <c r="I19" s="783"/>
      <c r="J19" s="737"/>
      <c r="K19" s="781"/>
      <c r="L19" s="737"/>
      <c r="M19" s="737"/>
      <c r="N19" s="737"/>
      <c r="O19" s="782"/>
      <c r="P19" s="783"/>
      <c r="Q19" s="784"/>
      <c r="R19" s="238" t="e">
        <f t="shared" si="1"/>
        <v>#DIV/0!</v>
      </c>
      <c r="S19" s="562"/>
      <c r="T19" s="563"/>
      <c r="U19" s="564"/>
      <c r="V19" s="562"/>
      <c r="W19" s="38"/>
      <c r="X19" s="38"/>
      <c r="Y19" s="38"/>
      <c r="Z19" s="38"/>
      <c r="AA19" s="240">
        <f t="shared" si="2"/>
        <v>0</v>
      </c>
      <c r="AB19" s="240">
        <f t="shared" si="0"/>
        <v>0</v>
      </c>
      <c r="AC19" s="576"/>
      <c r="AD19" s="577"/>
      <c r="AE19" s="284"/>
      <c r="AF19" s="284"/>
      <c r="AG19" s="277"/>
      <c r="AH19" s="277"/>
      <c r="AI19" s="578"/>
      <c r="AJ19" s="284"/>
      <c r="AK19" s="284"/>
      <c r="AL19" s="284"/>
    </row>
    <row r="20" spans="1:38" s="33" customFormat="1" ht="15.95" customHeight="1">
      <c r="A20" s="785"/>
      <c r="B20" s="783"/>
      <c r="C20" s="783"/>
      <c r="D20" s="786"/>
      <c r="E20" s="725"/>
      <c r="F20" s="783"/>
      <c r="G20" s="783"/>
      <c r="H20" s="783"/>
      <c r="I20" s="783"/>
      <c r="J20" s="737"/>
      <c r="K20" s="781"/>
      <c r="L20" s="737"/>
      <c r="M20" s="737"/>
      <c r="N20" s="737"/>
      <c r="O20" s="782"/>
      <c r="P20" s="783"/>
      <c r="Q20" s="784"/>
      <c r="R20" s="238" t="e">
        <f t="shared" si="1"/>
        <v>#DIV/0!</v>
      </c>
      <c r="S20" s="562"/>
      <c r="T20" s="563"/>
      <c r="U20" s="564"/>
      <c r="V20" s="562"/>
      <c r="W20" s="38"/>
      <c r="X20" s="38"/>
      <c r="Y20" s="38"/>
      <c r="Z20" s="38"/>
      <c r="AA20" s="240">
        <f t="shared" si="2"/>
        <v>0</v>
      </c>
      <c r="AB20" s="240">
        <f t="shared" si="0"/>
        <v>0</v>
      </c>
      <c r="AC20" s="566"/>
      <c r="AD20" s="565"/>
      <c r="AE20" s="67"/>
      <c r="AF20" s="67"/>
      <c r="AG20" s="174"/>
      <c r="AH20" s="174"/>
      <c r="AI20" s="567"/>
      <c r="AJ20" s="67"/>
      <c r="AK20" s="67"/>
      <c r="AL20" s="67"/>
    </row>
    <row r="21" spans="1:38" s="33" customFormat="1" ht="15.95" customHeight="1">
      <c r="A21" s="785"/>
      <c r="B21" s="783"/>
      <c r="C21" s="783"/>
      <c r="D21" s="786"/>
      <c r="E21" s="725"/>
      <c r="F21" s="783"/>
      <c r="G21" s="783"/>
      <c r="H21" s="783"/>
      <c r="I21" s="783"/>
      <c r="J21" s="737"/>
      <c r="K21" s="781"/>
      <c r="L21" s="737"/>
      <c r="M21" s="737"/>
      <c r="N21" s="737"/>
      <c r="O21" s="782"/>
      <c r="P21" s="783"/>
      <c r="Q21" s="784"/>
      <c r="R21" s="238" t="e">
        <f t="shared" si="1"/>
        <v>#DIV/0!</v>
      </c>
      <c r="S21" s="562"/>
      <c r="T21" s="563"/>
      <c r="U21" s="564"/>
      <c r="V21" s="562"/>
      <c r="W21" s="38"/>
      <c r="X21" s="38"/>
      <c r="Y21" s="38"/>
      <c r="Z21" s="38"/>
      <c r="AA21" s="240">
        <f t="shared" si="2"/>
        <v>0</v>
      </c>
      <c r="AB21" s="240">
        <f t="shared" si="0"/>
        <v>0</v>
      </c>
      <c r="AC21" s="566"/>
      <c r="AD21" s="565"/>
      <c r="AE21" s="67"/>
      <c r="AF21" s="67"/>
      <c r="AG21" s="174"/>
      <c r="AH21" s="174"/>
      <c r="AI21" s="567"/>
      <c r="AJ21" s="67"/>
      <c r="AK21" s="67"/>
      <c r="AL21" s="67"/>
    </row>
    <row r="22" spans="1:38" s="33" customFormat="1" ht="15.95" customHeight="1">
      <c r="A22" s="785"/>
      <c r="B22" s="783"/>
      <c r="C22" s="783"/>
      <c r="D22" s="786"/>
      <c r="E22" s="725"/>
      <c r="F22" s="783"/>
      <c r="G22" s="783"/>
      <c r="H22" s="783"/>
      <c r="I22" s="783"/>
      <c r="J22" s="737"/>
      <c r="K22" s="781"/>
      <c r="L22" s="737"/>
      <c r="M22" s="737"/>
      <c r="N22" s="737"/>
      <c r="O22" s="782"/>
      <c r="P22" s="783"/>
      <c r="Q22" s="784"/>
      <c r="R22" s="238" t="e">
        <f t="shared" si="1"/>
        <v>#DIV/0!</v>
      </c>
      <c r="S22" s="562"/>
      <c r="T22" s="563"/>
      <c r="U22" s="564"/>
      <c r="V22" s="562"/>
      <c r="W22" s="38"/>
      <c r="X22" s="38"/>
      <c r="Y22" s="38"/>
      <c r="Z22" s="38"/>
      <c r="AA22" s="240">
        <f t="shared" si="2"/>
        <v>0</v>
      </c>
      <c r="AB22" s="240">
        <f t="shared" si="0"/>
        <v>0</v>
      </c>
      <c r="AC22" s="566"/>
      <c r="AD22" s="565"/>
      <c r="AE22" s="67"/>
      <c r="AF22" s="67"/>
      <c r="AG22" s="174"/>
      <c r="AH22" s="174"/>
      <c r="AI22" s="567"/>
      <c r="AJ22" s="67"/>
      <c r="AK22" s="67"/>
      <c r="AL22" s="67"/>
    </row>
    <row r="23" spans="1:38" s="33" customFormat="1" ht="15.95" customHeight="1">
      <c r="A23" s="558"/>
      <c r="B23" s="38"/>
      <c r="C23" s="38"/>
      <c r="D23" s="559"/>
      <c r="E23" s="677"/>
      <c r="F23" s="38"/>
      <c r="G23" s="38"/>
      <c r="H23" s="38"/>
      <c r="I23" s="38"/>
      <c r="J23" s="67"/>
      <c r="K23" s="560"/>
      <c r="L23" s="67"/>
      <c r="M23" s="67"/>
      <c r="N23" s="67"/>
      <c r="O23" s="561"/>
      <c r="P23" s="38"/>
      <c r="Q23" s="562"/>
      <c r="R23" s="238" t="e">
        <f t="shared" si="1"/>
        <v>#DIV/0!</v>
      </c>
      <c r="S23" s="562"/>
      <c r="T23" s="563"/>
      <c r="U23" s="564"/>
      <c r="V23" s="562"/>
      <c r="W23" s="38"/>
      <c r="X23" s="38"/>
      <c r="Y23" s="38"/>
      <c r="Z23" s="38"/>
      <c r="AA23" s="240">
        <f t="shared" si="2"/>
        <v>0</v>
      </c>
      <c r="AB23" s="240">
        <f t="shared" si="0"/>
        <v>0</v>
      </c>
      <c r="AC23" s="566"/>
      <c r="AD23" s="565"/>
      <c r="AE23" s="67"/>
      <c r="AF23" s="67"/>
      <c r="AG23" s="174"/>
      <c r="AH23" s="174"/>
      <c r="AI23" s="567"/>
      <c r="AJ23" s="67"/>
      <c r="AK23" s="67"/>
      <c r="AL23" s="67"/>
    </row>
    <row r="24" spans="1:38" s="33" customFormat="1" ht="15.95" customHeight="1">
      <c r="A24" s="558"/>
      <c r="B24" s="38"/>
      <c r="C24" s="38"/>
      <c r="D24" s="559"/>
      <c r="E24" s="677"/>
      <c r="F24" s="38"/>
      <c r="G24" s="38"/>
      <c r="H24" s="38"/>
      <c r="I24" s="38"/>
      <c r="J24" s="67"/>
      <c r="K24" s="560"/>
      <c r="L24" s="67"/>
      <c r="M24" s="67"/>
      <c r="N24" s="67"/>
      <c r="O24" s="561"/>
      <c r="P24" s="38"/>
      <c r="Q24" s="562"/>
      <c r="R24" s="238" t="e">
        <f t="shared" si="1"/>
        <v>#DIV/0!</v>
      </c>
      <c r="S24" s="562"/>
      <c r="T24" s="563"/>
      <c r="U24" s="564"/>
      <c r="V24" s="562"/>
      <c r="W24" s="38"/>
      <c r="X24" s="38"/>
      <c r="Y24" s="38"/>
      <c r="Z24" s="38"/>
      <c r="AA24" s="240">
        <f t="shared" si="2"/>
        <v>0</v>
      </c>
      <c r="AB24" s="240">
        <f t="shared" si="0"/>
        <v>0</v>
      </c>
      <c r="AC24" s="566"/>
      <c r="AD24" s="565"/>
      <c r="AE24" s="67"/>
      <c r="AF24" s="67"/>
      <c r="AG24" s="174"/>
      <c r="AH24" s="174"/>
      <c r="AI24" s="567"/>
      <c r="AJ24" s="67"/>
      <c r="AK24" s="67"/>
      <c r="AL24" s="67"/>
    </row>
    <row r="25" spans="1:38" s="33" customFormat="1" ht="15.95" customHeight="1">
      <c r="A25" s="558"/>
      <c r="B25" s="38"/>
      <c r="C25" s="38"/>
      <c r="D25" s="559"/>
      <c r="E25" s="677"/>
      <c r="F25" s="38"/>
      <c r="G25" s="38"/>
      <c r="H25" s="38"/>
      <c r="I25" s="38"/>
      <c r="J25" s="67"/>
      <c r="K25" s="560"/>
      <c r="L25" s="67"/>
      <c r="M25" s="67"/>
      <c r="N25" s="67"/>
      <c r="O25" s="561"/>
      <c r="P25" s="38"/>
      <c r="Q25" s="562"/>
      <c r="R25" s="238" t="e">
        <f t="shared" si="1"/>
        <v>#DIV/0!</v>
      </c>
      <c r="S25" s="562"/>
      <c r="T25" s="563"/>
      <c r="U25" s="564"/>
      <c r="V25" s="562"/>
      <c r="W25" s="38"/>
      <c r="X25" s="38"/>
      <c r="Y25" s="38"/>
      <c r="Z25" s="38"/>
      <c r="AA25" s="240">
        <f t="shared" si="2"/>
        <v>0</v>
      </c>
      <c r="AB25" s="240">
        <f t="shared" si="0"/>
        <v>0</v>
      </c>
      <c r="AC25" s="566"/>
      <c r="AD25" s="565"/>
      <c r="AE25" s="67"/>
      <c r="AF25" s="67"/>
      <c r="AG25" s="174"/>
      <c r="AH25" s="174"/>
      <c r="AI25" s="567"/>
      <c r="AJ25" s="67"/>
      <c r="AK25" s="67"/>
      <c r="AL25" s="67"/>
    </row>
    <row r="26" spans="1:38" s="33" customFormat="1" ht="15.95" customHeight="1">
      <c r="A26" s="558"/>
      <c r="B26" s="38"/>
      <c r="C26" s="38"/>
      <c r="D26" s="559"/>
      <c r="E26" s="677"/>
      <c r="F26" s="38"/>
      <c r="G26" s="38"/>
      <c r="H26" s="38"/>
      <c r="I26" s="38"/>
      <c r="J26" s="67"/>
      <c r="K26" s="560"/>
      <c r="L26" s="67"/>
      <c r="M26" s="67"/>
      <c r="N26" s="67"/>
      <c r="O26" s="561"/>
      <c r="P26" s="38"/>
      <c r="Q26" s="562"/>
      <c r="R26" s="238" t="e">
        <f t="shared" si="1"/>
        <v>#DIV/0!</v>
      </c>
      <c r="S26" s="562"/>
      <c r="T26" s="563"/>
      <c r="U26" s="564"/>
      <c r="V26" s="562"/>
      <c r="W26" s="38"/>
      <c r="X26" s="38"/>
      <c r="Y26" s="38"/>
      <c r="Z26" s="38"/>
      <c r="AA26" s="240">
        <f t="shared" si="2"/>
        <v>0</v>
      </c>
      <c r="AB26" s="240">
        <f t="shared" si="0"/>
        <v>0</v>
      </c>
      <c r="AC26" s="566"/>
      <c r="AD26" s="565"/>
      <c r="AE26" s="67"/>
      <c r="AF26" s="67"/>
      <c r="AG26" s="174"/>
      <c r="AH26" s="174"/>
      <c r="AI26" s="567"/>
      <c r="AJ26" s="67"/>
      <c r="AK26" s="67"/>
      <c r="AL26" s="67"/>
    </row>
    <row r="27" spans="1:38" s="33" customFormat="1" ht="15.95" customHeight="1">
      <c r="A27" s="558"/>
      <c r="B27" s="38"/>
      <c r="C27" s="38"/>
      <c r="D27" s="559"/>
      <c r="E27" s="677"/>
      <c r="F27" s="38"/>
      <c r="G27" s="38"/>
      <c r="H27" s="38"/>
      <c r="I27" s="38"/>
      <c r="J27" s="67"/>
      <c r="K27" s="560"/>
      <c r="L27" s="67"/>
      <c r="M27" s="67"/>
      <c r="N27" s="67"/>
      <c r="O27" s="561"/>
      <c r="P27" s="38"/>
      <c r="Q27" s="562"/>
      <c r="R27" s="238" t="e">
        <f t="shared" si="1"/>
        <v>#DIV/0!</v>
      </c>
      <c r="S27" s="562"/>
      <c r="T27" s="563"/>
      <c r="U27" s="564"/>
      <c r="V27" s="562"/>
      <c r="W27" s="38"/>
      <c r="X27" s="38"/>
      <c r="Y27" s="38"/>
      <c r="Z27" s="38"/>
      <c r="AA27" s="240">
        <f t="shared" si="2"/>
        <v>0</v>
      </c>
      <c r="AB27" s="240">
        <f t="shared" si="0"/>
        <v>0</v>
      </c>
      <c r="AC27" s="566"/>
      <c r="AD27" s="565"/>
      <c r="AE27" s="67"/>
      <c r="AF27" s="67"/>
      <c r="AG27" s="174"/>
      <c r="AH27" s="174"/>
      <c r="AI27" s="567"/>
      <c r="AJ27" s="67"/>
      <c r="AK27" s="67"/>
      <c r="AL27" s="67"/>
    </row>
    <row r="28" spans="1:38" s="33" customFormat="1" ht="15.95" customHeight="1">
      <c r="A28" s="558"/>
      <c r="B28" s="38"/>
      <c r="C28" s="38"/>
      <c r="D28" s="559"/>
      <c r="E28" s="677"/>
      <c r="F28" s="38"/>
      <c r="G28" s="38"/>
      <c r="H28" s="38"/>
      <c r="I28" s="38"/>
      <c r="J28" s="67"/>
      <c r="K28" s="560"/>
      <c r="L28" s="67"/>
      <c r="M28" s="67"/>
      <c r="N28" s="67"/>
      <c r="O28" s="561"/>
      <c r="P28" s="38"/>
      <c r="Q28" s="562"/>
      <c r="R28" s="238" t="e">
        <f t="shared" si="1"/>
        <v>#DIV/0!</v>
      </c>
      <c r="S28" s="562"/>
      <c r="T28" s="563"/>
      <c r="U28" s="564"/>
      <c r="V28" s="562"/>
      <c r="W28" s="38"/>
      <c r="X28" s="38"/>
      <c r="Y28" s="38"/>
      <c r="Z28" s="38"/>
      <c r="AA28" s="240">
        <f t="shared" si="2"/>
        <v>0</v>
      </c>
      <c r="AB28" s="240">
        <f t="shared" si="0"/>
        <v>0</v>
      </c>
      <c r="AC28" s="566"/>
      <c r="AD28" s="565"/>
      <c r="AE28" s="67"/>
      <c r="AF28" s="67"/>
      <c r="AG28" s="174"/>
      <c r="AH28" s="174"/>
      <c r="AI28" s="567"/>
      <c r="AJ28" s="67"/>
      <c r="AK28" s="67"/>
      <c r="AL28" s="67"/>
    </row>
    <row r="29" spans="1:38" s="33" customFormat="1" ht="15.95" customHeight="1">
      <c r="A29" s="558"/>
      <c r="B29" s="38"/>
      <c r="C29" s="38"/>
      <c r="D29" s="559"/>
      <c r="E29" s="677"/>
      <c r="F29" s="38"/>
      <c r="G29" s="38"/>
      <c r="H29" s="38"/>
      <c r="I29" s="38"/>
      <c r="J29" s="67"/>
      <c r="K29" s="560"/>
      <c r="L29" s="67"/>
      <c r="M29" s="67"/>
      <c r="N29" s="67"/>
      <c r="O29" s="561"/>
      <c r="P29" s="38"/>
      <c r="Q29" s="562"/>
      <c r="R29" s="238" t="e">
        <f t="shared" si="1"/>
        <v>#DIV/0!</v>
      </c>
      <c r="S29" s="562"/>
      <c r="T29" s="563"/>
      <c r="U29" s="564"/>
      <c r="V29" s="562"/>
      <c r="W29" s="38"/>
      <c r="X29" s="38"/>
      <c r="Y29" s="38"/>
      <c r="Z29" s="38"/>
      <c r="AA29" s="240">
        <f t="shared" si="2"/>
        <v>0</v>
      </c>
      <c r="AB29" s="240">
        <f t="shared" si="0"/>
        <v>0</v>
      </c>
      <c r="AC29" s="566"/>
      <c r="AD29" s="565"/>
      <c r="AE29" s="67"/>
      <c r="AF29" s="67"/>
      <c r="AG29" s="174"/>
      <c r="AH29" s="174"/>
      <c r="AI29" s="567"/>
      <c r="AJ29" s="67"/>
      <c r="AK29" s="67"/>
      <c r="AL29" s="67"/>
    </row>
    <row r="30" spans="1:38" s="33" customFormat="1" ht="15.95" customHeight="1">
      <c r="A30" s="558"/>
      <c r="B30" s="38"/>
      <c r="C30" s="38"/>
      <c r="D30" s="559"/>
      <c r="E30" s="677"/>
      <c r="F30" s="38"/>
      <c r="G30" s="38"/>
      <c r="H30" s="38"/>
      <c r="I30" s="38"/>
      <c r="J30" s="67"/>
      <c r="K30" s="560"/>
      <c r="L30" s="67"/>
      <c r="M30" s="67"/>
      <c r="N30" s="67"/>
      <c r="O30" s="561"/>
      <c r="P30" s="38"/>
      <c r="Q30" s="562"/>
      <c r="R30" s="238" t="e">
        <f t="shared" si="1"/>
        <v>#DIV/0!</v>
      </c>
      <c r="S30" s="562"/>
      <c r="T30" s="563"/>
      <c r="U30" s="564"/>
      <c r="V30" s="562"/>
      <c r="W30" s="38"/>
      <c r="X30" s="38"/>
      <c r="Y30" s="38"/>
      <c r="Z30" s="38"/>
      <c r="AA30" s="240">
        <f t="shared" si="2"/>
        <v>0</v>
      </c>
      <c r="AB30" s="240">
        <f t="shared" si="0"/>
        <v>0</v>
      </c>
      <c r="AC30" s="566"/>
      <c r="AD30" s="565"/>
      <c r="AE30" s="67"/>
      <c r="AF30" s="67"/>
      <c r="AG30" s="174"/>
      <c r="AH30" s="174"/>
      <c r="AI30" s="567"/>
      <c r="AJ30" s="67"/>
      <c r="AK30" s="67"/>
      <c r="AL30" s="67"/>
    </row>
    <row r="31" spans="1:38" s="33" customFormat="1" ht="15.95" customHeight="1">
      <c r="A31" s="558"/>
      <c r="B31" s="38"/>
      <c r="C31" s="38"/>
      <c r="D31" s="559"/>
      <c r="E31" s="677"/>
      <c r="F31" s="38"/>
      <c r="G31" s="38"/>
      <c r="H31" s="38"/>
      <c r="I31" s="38"/>
      <c r="J31" s="67"/>
      <c r="K31" s="560"/>
      <c r="L31" s="67"/>
      <c r="M31" s="67"/>
      <c r="N31" s="67"/>
      <c r="O31" s="561"/>
      <c r="P31" s="38"/>
      <c r="Q31" s="562"/>
      <c r="R31" s="238" t="e">
        <f t="shared" si="1"/>
        <v>#DIV/0!</v>
      </c>
      <c r="S31" s="562"/>
      <c r="T31" s="563"/>
      <c r="U31" s="564"/>
      <c r="V31" s="562"/>
      <c r="W31" s="38"/>
      <c r="X31" s="38"/>
      <c r="Y31" s="38"/>
      <c r="Z31" s="38"/>
      <c r="AA31" s="240">
        <f t="shared" si="2"/>
        <v>0</v>
      </c>
      <c r="AB31" s="240">
        <f t="shared" si="0"/>
        <v>0</v>
      </c>
      <c r="AC31" s="566"/>
      <c r="AD31" s="565"/>
      <c r="AE31" s="67"/>
      <c r="AF31" s="67"/>
      <c r="AG31" s="174"/>
      <c r="AH31" s="174"/>
      <c r="AI31" s="567"/>
      <c r="AJ31" s="67"/>
      <c r="AK31" s="67"/>
      <c r="AL31" s="67"/>
    </row>
    <row r="32" spans="1:38" s="33" customFormat="1" ht="15.95" customHeight="1">
      <c r="A32" s="558"/>
      <c r="B32" s="38"/>
      <c r="C32" s="38"/>
      <c r="D32" s="559"/>
      <c r="E32" s="677"/>
      <c r="F32" s="38"/>
      <c r="G32" s="38"/>
      <c r="H32" s="38"/>
      <c r="I32" s="38"/>
      <c r="J32" s="67"/>
      <c r="K32" s="560"/>
      <c r="L32" s="67"/>
      <c r="M32" s="67"/>
      <c r="N32" s="67"/>
      <c r="O32" s="561"/>
      <c r="P32" s="38"/>
      <c r="Q32" s="562"/>
      <c r="R32" s="238" t="e">
        <f t="shared" si="1"/>
        <v>#DIV/0!</v>
      </c>
      <c r="S32" s="562"/>
      <c r="T32" s="563"/>
      <c r="U32" s="564"/>
      <c r="V32" s="562"/>
      <c r="W32" s="38"/>
      <c r="X32" s="38"/>
      <c r="Y32" s="38"/>
      <c r="Z32" s="38"/>
      <c r="AA32" s="240">
        <f t="shared" si="2"/>
        <v>0</v>
      </c>
      <c r="AB32" s="240">
        <f t="shared" si="0"/>
        <v>0</v>
      </c>
      <c r="AC32" s="566"/>
      <c r="AD32" s="565"/>
      <c r="AE32" s="67"/>
      <c r="AF32" s="67"/>
      <c r="AG32" s="174"/>
      <c r="AH32" s="174"/>
      <c r="AI32" s="567"/>
      <c r="AJ32" s="67"/>
      <c r="AK32" s="67"/>
      <c r="AL32" s="67"/>
    </row>
    <row r="33" spans="1:38" s="33" customFormat="1" ht="15.95" customHeight="1">
      <c r="A33" s="558"/>
      <c r="B33" s="38"/>
      <c r="C33" s="38"/>
      <c r="D33" s="559"/>
      <c r="E33" s="677"/>
      <c r="F33" s="38"/>
      <c r="G33" s="38"/>
      <c r="H33" s="38"/>
      <c r="I33" s="38"/>
      <c r="J33" s="67"/>
      <c r="K33" s="560"/>
      <c r="L33" s="67"/>
      <c r="M33" s="67"/>
      <c r="N33" s="67"/>
      <c r="O33" s="561"/>
      <c r="P33" s="38"/>
      <c r="Q33" s="562"/>
      <c r="R33" s="238" t="e">
        <f t="shared" si="1"/>
        <v>#DIV/0!</v>
      </c>
      <c r="S33" s="562"/>
      <c r="T33" s="563"/>
      <c r="U33" s="564"/>
      <c r="V33" s="562"/>
      <c r="W33" s="38"/>
      <c r="X33" s="38"/>
      <c r="Y33" s="38"/>
      <c r="Z33" s="38"/>
      <c r="AA33" s="240">
        <f t="shared" si="2"/>
        <v>0</v>
      </c>
      <c r="AB33" s="240">
        <f t="shared" si="0"/>
        <v>0</v>
      </c>
      <c r="AC33" s="566"/>
      <c r="AD33" s="565"/>
      <c r="AE33" s="67"/>
      <c r="AF33" s="67"/>
      <c r="AG33" s="174"/>
      <c r="AH33" s="174"/>
      <c r="AI33" s="567"/>
      <c r="AJ33" s="67"/>
      <c r="AK33" s="67"/>
      <c r="AL33" s="67"/>
    </row>
    <row r="34" spans="1:38" s="33" customFormat="1" ht="15.95" customHeight="1">
      <c r="A34" s="558"/>
      <c r="B34" s="38"/>
      <c r="C34" s="38"/>
      <c r="D34" s="559"/>
      <c r="E34" s="677"/>
      <c r="F34" s="38"/>
      <c r="G34" s="38"/>
      <c r="H34" s="38"/>
      <c r="I34" s="38"/>
      <c r="J34" s="67"/>
      <c r="K34" s="560"/>
      <c r="L34" s="67"/>
      <c r="M34" s="67"/>
      <c r="N34" s="67"/>
      <c r="O34" s="561"/>
      <c r="P34" s="38"/>
      <c r="Q34" s="562"/>
      <c r="R34" s="238" t="e">
        <f t="shared" si="1"/>
        <v>#DIV/0!</v>
      </c>
      <c r="S34" s="562"/>
      <c r="T34" s="563"/>
      <c r="U34" s="564"/>
      <c r="V34" s="562"/>
      <c r="W34" s="38"/>
      <c r="X34" s="38"/>
      <c r="Y34" s="38"/>
      <c r="Z34" s="38"/>
      <c r="AA34" s="240">
        <f t="shared" si="2"/>
        <v>0</v>
      </c>
      <c r="AB34" s="240">
        <f t="shared" si="0"/>
        <v>0</v>
      </c>
      <c r="AC34" s="566"/>
      <c r="AD34" s="565"/>
      <c r="AE34" s="67"/>
      <c r="AF34" s="67"/>
      <c r="AG34" s="174"/>
      <c r="AH34" s="174"/>
      <c r="AI34" s="567"/>
      <c r="AJ34" s="67"/>
      <c r="AK34" s="67"/>
      <c r="AL34" s="67"/>
    </row>
    <row r="35" spans="1:38" s="33" customFormat="1" ht="15.95" customHeight="1">
      <c r="A35" s="558"/>
      <c r="B35" s="38"/>
      <c r="C35" s="38"/>
      <c r="D35" s="559"/>
      <c r="E35" s="677"/>
      <c r="F35" s="38"/>
      <c r="G35" s="38"/>
      <c r="H35" s="38"/>
      <c r="I35" s="38"/>
      <c r="J35" s="67"/>
      <c r="K35" s="560"/>
      <c r="L35" s="67"/>
      <c r="M35" s="67"/>
      <c r="N35" s="67"/>
      <c r="O35" s="561"/>
      <c r="P35" s="38"/>
      <c r="Q35" s="562"/>
      <c r="R35" s="238" t="e">
        <f t="shared" si="1"/>
        <v>#DIV/0!</v>
      </c>
      <c r="S35" s="562"/>
      <c r="T35" s="563"/>
      <c r="U35" s="564"/>
      <c r="V35" s="562"/>
      <c r="W35" s="38"/>
      <c r="X35" s="38"/>
      <c r="Y35" s="38"/>
      <c r="Z35" s="38"/>
      <c r="AA35" s="240">
        <f t="shared" si="2"/>
        <v>0</v>
      </c>
      <c r="AB35" s="240">
        <f t="shared" si="0"/>
        <v>0</v>
      </c>
      <c r="AC35" s="566"/>
      <c r="AD35" s="565"/>
      <c r="AE35" s="67"/>
      <c r="AF35" s="67"/>
      <c r="AG35" s="174"/>
      <c r="AH35" s="174"/>
      <c r="AI35" s="567"/>
      <c r="AJ35" s="67"/>
      <c r="AK35" s="67"/>
      <c r="AL35" s="67"/>
    </row>
    <row r="36" spans="1:38" s="33" customFormat="1" ht="15.95" customHeight="1">
      <c r="A36" s="558"/>
      <c r="B36" s="38"/>
      <c r="C36" s="38"/>
      <c r="D36" s="559"/>
      <c r="E36" s="677"/>
      <c r="F36" s="38"/>
      <c r="G36" s="38"/>
      <c r="H36" s="38"/>
      <c r="I36" s="38"/>
      <c r="J36" s="67"/>
      <c r="K36" s="560"/>
      <c r="L36" s="67"/>
      <c r="M36" s="67"/>
      <c r="N36" s="67"/>
      <c r="O36" s="561"/>
      <c r="P36" s="38"/>
      <c r="Q36" s="562"/>
      <c r="R36" s="238" t="e">
        <f t="shared" si="1"/>
        <v>#DIV/0!</v>
      </c>
      <c r="S36" s="562"/>
      <c r="T36" s="563"/>
      <c r="U36" s="564"/>
      <c r="V36" s="562"/>
      <c r="W36" s="38"/>
      <c r="X36" s="38"/>
      <c r="Y36" s="38"/>
      <c r="Z36" s="38"/>
      <c r="AA36" s="240">
        <f t="shared" si="2"/>
        <v>0</v>
      </c>
      <c r="AB36" s="240">
        <f t="shared" si="0"/>
        <v>0</v>
      </c>
      <c r="AC36" s="566"/>
      <c r="AD36" s="565"/>
      <c r="AE36" s="67"/>
      <c r="AF36" s="67"/>
      <c r="AG36" s="174"/>
      <c r="AH36" s="174"/>
      <c r="AI36" s="567"/>
      <c r="AJ36" s="67"/>
      <c r="AK36" s="67"/>
      <c r="AL36" s="67"/>
    </row>
    <row r="37" spans="1:38" s="33" customFormat="1" ht="15.95" customHeight="1">
      <c r="A37" s="558"/>
      <c r="B37" s="38"/>
      <c r="C37" s="38"/>
      <c r="D37" s="559"/>
      <c r="E37" s="677"/>
      <c r="F37" s="38"/>
      <c r="G37" s="38"/>
      <c r="H37" s="38"/>
      <c r="I37" s="38"/>
      <c r="J37" s="67"/>
      <c r="K37" s="560"/>
      <c r="L37" s="67"/>
      <c r="M37" s="67"/>
      <c r="N37" s="67"/>
      <c r="O37" s="561"/>
      <c r="P37" s="38"/>
      <c r="Q37" s="562"/>
      <c r="R37" s="238" t="e">
        <f t="shared" si="1"/>
        <v>#DIV/0!</v>
      </c>
      <c r="S37" s="562"/>
      <c r="T37" s="563"/>
      <c r="U37" s="564"/>
      <c r="V37" s="562"/>
      <c r="W37" s="38"/>
      <c r="X37" s="38"/>
      <c r="Y37" s="38"/>
      <c r="Z37" s="38"/>
      <c r="AA37" s="240">
        <f t="shared" si="2"/>
        <v>0</v>
      </c>
      <c r="AB37" s="240">
        <f t="shared" si="0"/>
        <v>0</v>
      </c>
      <c r="AC37" s="566"/>
      <c r="AD37" s="565"/>
      <c r="AE37" s="67"/>
      <c r="AF37" s="67"/>
      <c r="AG37" s="174"/>
      <c r="AH37" s="174"/>
      <c r="AI37" s="567"/>
      <c r="AJ37" s="67"/>
      <c r="AK37" s="67"/>
      <c r="AL37" s="67"/>
    </row>
    <row r="38" spans="1:38" s="33" customFormat="1" ht="15.95" customHeight="1">
      <c r="A38" s="558"/>
      <c r="B38" s="38"/>
      <c r="C38" s="38"/>
      <c r="D38" s="559"/>
      <c r="E38" s="677"/>
      <c r="F38" s="38"/>
      <c r="G38" s="38"/>
      <c r="H38" s="38"/>
      <c r="I38" s="38"/>
      <c r="J38" s="67"/>
      <c r="K38" s="560"/>
      <c r="L38" s="67"/>
      <c r="M38" s="67"/>
      <c r="N38" s="67"/>
      <c r="O38" s="561"/>
      <c r="P38" s="38"/>
      <c r="Q38" s="562"/>
      <c r="R38" s="238" t="e">
        <f t="shared" si="1"/>
        <v>#DIV/0!</v>
      </c>
      <c r="S38" s="562"/>
      <c r="T38" s="563"/>
      <c r="U38" s="564"/>
      <c r="V38" s="562"/>
      <c r="W38" s="38"/>
      <c r="X38" s="38"/>
      <c r="Y38" s="38"/>
      <c r="Z38" s="38"/>
      <c r="AA38" s="240">
        <f t="shared" si="2"/>
        <v>0</v>
      </c>
      <c r="AB38" s="240">
        <f t="shared" si="0"/>
        <v>0</v>
      </c>
      <c r="AC38" s="566"/>
      <c r="AD38" s="565"/>
      <c r="AE38" s="67"/>
      <c r="AF38" s="67"/>
      <c r="AG38" s="174"/>
      <c r="AH38" s="174"/>
      <c r="AI38" s="567"/>
      <c r="AJ38" s="67"/>
      <c r="AK38" s="67"/>
      <c r="AL38" s="67"/>
    </row>
    <row r="39" spans="1:38" s="33" customFormat="1" ht="15.95" customHeight="1">
      <c r="A39" s="558"/>
      <c r="B39" s="38"/>
      <c r="C39" s="38"/>
      <c r="D39" s="559"/>
      <c r="E39" s="677"/>
      <c r="F39" s="38"/>
      <c r="G39" s="38"/>
      <c r="H39" s="38"/>
      <c r="I39" s="38"/>
      <c r="J39" s="67"/>
      <c r="K39" s="560"/>
      <c r="L39" s="67"/>
      <c r="M39" s="67"/>
      <c r="N39" s="67"/>
      <c r="O39" s="561"/>
      <c r="P39" s="38"/>
      <c r="Q39" s="562"/>
      <c r="R39" s="238" t="e">
        <f t="shared" si="1"/>
        <v>#DIV/0!</v>
      </c>
      <c r="S39" s="562"/>
      <c r="T39" s="563"/>
      <c r="U39" s="564"/>
      <c r="V39" s="562"/>
      <c r="W39" s="38"/>
      <c r="X39" s="38"/>
      <c r="Y39" s="38"/>
      <c r="Z39" s="38"/>
      <c r="AA39" s="240">
        <f t="shared" si="2"/>
        <v>0</v>
      </c>
      <c r="AB39" s="240">
        <f t="shared" si="0"/>
        <v>0</v>
      </c>
      <c r="AC39" s="566"/>
      <c r="AD39" s="565"/>
      <c r="AE39" s="67"/>
      <c r="AF39" s="67"/>
      <c r="AG39" s="174"/>
      <c r="AH39" s="174"/>
      <c r="AI39" s="567"/>
      <c r="AJ39" s="67"/>
      <c r="AK39" s="67"/>
      <c r="AL39" s="67"/>
    </row>
    <row r="40" spans="1:38" s="33" customFormat="1" ht="15.95" customHeight="1">
      <c r="A40" s="558"/>
      <c r="B40" s="38"/>
      <c r="C40" s="38"/>
      <c r="D40" s="559"/>
      <c r="E40" s="677"/>
      <c r="F40" s="38"/>
      <c r="G40" s="38"/>
      <c r="H40" s="38"/>
      <c r="I40" s="38"/>
      <c r="J40" s="67"/>
      <c r="K40" s="560"/>
      <c r="L40" s="67"/>
      <c r="M40" s="67"/>
      <c r="N40" s="67"/>
      <c r="O40" s="561"/>
      <c r="P40" s="38"/>
      <c r="Q40" s="562"/>
      <c r="R40" s="238" t="e">
        <f t="shared" si="1"/>
        <v>#DIV/0!</v>
      </c>
      <c r="S40" s="562"/>
      <c r="T40" s="563"/>
      <c r="U40" s="564"/>
      <c r="V40" s="562"/>
      <c r="W40" s="38"/>
      <c r="X40" s="38"/>
      <c r="Y40" s="38"/>
      <c r="Z40" s="38"/>
      <c r="AA40" s="240">
        <f t="shared" si="2"/>
        <v>0</v>
      </c>
      <c r="AB40" s="240">
        <f t="shared" si="0"/>
        <v>0</v>
      </c>
      <c r="AC40" s="566"/>
      <c r="AD40" s="565"/>
      <c r="AE40" s="67"/>
      <c r="AF40" s="67"/>
      <c r="AG40" s="174"/>
      <c r="AH40" s="174"/>
      <c r="AI40" s="567"/>
      <c r="AJ40" s="67"/>
      <c r="AK40" s="67"/>
      <c r="AL40" s="67"/>
    </row>
    <row r="41" spans="1:38" s="33" customFormat="1" ht="15.95" customHeight="1">
      <c r="A41" s="558"/>
      <c r="B41" s="38"/>
      <c r="C41" s="38"/>
      <c r="D41" s="559"/>
      <c r="E41" s="677"/>
      <c r="F41" s="38"/>
      <c r="G41" s="38"/>
      <c r="H41" s="38"/>
      <c r="I41" s="38"/>
      <c r="J41" s="67"/>
      <c r="K41" s="560"/>
      <c r="L41" s="67"/>
      <c r="M41" s="67"/>
      <c r="N41" s="67"/>
      <c r="O41" s="561"/>
      <c r="P41" s="38"/>
      <c r="Q41" s="562"/>
      <c r="R41" s="238" t="e">
        <f t="shared" si="1"/>
        <v>#DIV/0!</v>
      </c>
      <c r="S41" s="562"/>
      <c r="T41" s="563"/>
      <c r="U41" s="564"/>
      <c r="V41" s="562"/>
      <c r="W41" s="38"/>
      <c r="X41" s="38"/>
      <c r="Y41" s="38"/>
      <c r="Z41" s="38"/>
      <c r="AA41" s="240">
        <f t="shared" si="2"/>
        <v>0</v>
      </c>
      <c r="AB41" s="240">
        <f t="shared" si="0"/>
        <v>0</v>
      </c>
      <c r="AC41" s="566"/>
      <c r="AD41" s="565"/>
      <c r="AE41" s="67"/>
      <c r="AF41" s="67"/>
      <c r="AG41" s="174"/>
      <c r="AH41" s="174"/>
      <c r="AI41" s="567"/>
      <c r="AJ41" s="67"/>
      <c r="AK41" s="67"/>
      <c r="AL41" s="67"/>
    </row>
    <row r="42" spans="1:38" s="33" customFormat="1" ht="15.95" customHeight="1">
      <c r="A42" s="558"/>
      <c r="B42" s="38"/>
      <c r="C42" s="38"/>
      <c r="D42" s="559"/>
      <c r="E42" s="677"/>
      <c r="F42" s="38"/>
      <c r="G42" s="38"/>
      <c r="H42" s="38"/>
      <c r="I42" s="38"/>
      <c r="J42" s="67"/>
      <c r="K42" s="560"/>
      <c r="L42" s="67"/>
      <c r="M42" s="67"/>
      <c r="N42" s="67"/>
      <c r="O42" s="561"/>
      <c r="P42" s="38"/>
      <c r="Q42" s="562"/>
      <c r="R42" s="238" t="e">
        <f t="shared" si="1"/>
        <v>#DIV/0!</v>
      </c>
      <c r="S42" s="562"/>
      <c r="T42" s="563"/>
      <c r="U42" s="564"/>
      <c r="V42" s="562"/>
      <c r="W42" s="38"/>
      <c r="X42" s="38"/>
      <c r="Y42" s="38"/>
      <c r="Z42" s="38"/>
      <c r="AA42" s="240">
        <f t="shared" si="2"/>
        <v>0</v>
      </c>
      <c r="AB42" s="240">
        <f t="shared" si="0"/>
        <v>0</v>
      </c>
      <c r="AC42" s="566"/>
      <c r="AD42" s="565"/>
      <c r="AE42" s="67"/>
      <c r="AF42" s="67"/>
      <c r="AG42" s="174"/>
      <c r="AH42" s="174"/>
      <c r="AI42" s="567"/>
      <c r="AJ42" s="67"/>
      <c r="AK42" s="67"/>
      <c r="AL42" s="67"/>
    </row>
    <row r="43" spans="1:38" s="33" customFormat="1" ht="15.95" customHeight="1">
      <c r="A43" s="302"/>
      <c r="B43" s="234"/>
      <c r="C43" s="234"/>
      <c r="D43" s="244"/>
      <c r="E43" s="677"/>
      <c r="F43" s="234"/>
      <c r="G43" s="234"/>
      <c r="H43" s="234"/>
      <c r="I43" s="234"/>
      <c r="J43" s="235"/>
      <c r="K43" s="250"/>
      <c r="L43" s="235"/>
      <c r="M43" s="235"/>
      <c r="N43" s="235"/>
      <c r="O43" s="250"/>
      <c r="P43" s="234"/>
      <c r="Q43" s="237"/>
      <c r="R43" s="238" t="e">
        <f t="shared" si="1"/>
        <v>#DIV/0!</v>
      </c>
      <c r="S43" s="239"/>
      <c r="T43" s="315"/>
      <c r="U43" s="249"/>
      <c r="V43" s="239"/>
      <c r="W43" s="234"/>
      <c r="X43" s="234"/>
      <c r="Y43" s="234"/>
      <c r="Z43" s="234"/>
      <c r="AA43" s="240">
        <f t="shared" si="2"/>
        <v>0</v>
      </c>
      <c r="AB43" s="240">
        <f t="shared" si="0"/>
        <v>0</v>
      </c>
      <c r="AC43" s="267"/>
      <c r="AD43" s="240"/>
      <c r="AE43" s="235"/>
      <c r="AF43" s="234"/>
      <c r="AG43" s="174"/>
      <c r="AH43" s="241"/>
      <c r="AI43" s="253"/>
      <c r="AJ43" s="235"/>
      <c r="AK43" s="334"/>
      <c r="AL43" s="235"/>
    </row>
    <row r="44" spans="1:38" ht="15.95" customHeight="1">
      <c r="A44" s="109"/>
      <c r="B44" s="110"/>
      <c r="C44" s="125"/>
      <c r="D44" s="111" t="s">
        <v>20</v>
      </c>
      <c r="E44" s="678"/>
      <c r="F44" s="125"/>
      <c r="G44" s="112">
        <f>SUM(G7:G43)</f>
        <v>0</v>
      </c>
      <c r="H44" s="112">
        <f>SUM(H7:H43)</f>
        <v>1</v>
      </c>
      <c r="I44" s="112">
        <f>SUM(I7:I43)</f>
        <v>0</v>
      </c>
      <c r="J44" s="112">
        <f>SUM(J7:J43)</f>
        <v>1</v>
      </c>
      <c r="K44" s="115"/>
      <c r="L44" s="114"/>
      <c r="M44" s="114"/>
      <c r="N44" s="114"/>
      <c r="O44" s="115"/>
      <c r="P44" s="113">
        <f>SUM(P7:P43)</f>
        <v>1</v>
      </c>
      <c r="Q44" s="116">
        <f>SUM(Q7:Q43)</f>
        <v>235200000</v>
      </c>
      <c r="R44" s="117"/>
      <c r="S44" s="118">
        <f>SUM(S7:S43)</f>
        <v>235200000</v>
      </c>
      <c r="T44" s="316"/>
      <c r="U44" s="119">
        <f>SUM(U7:U43)</f>
        <v>0</v>
      </c>
      <c r="V44" s="120">
        <f>SUM(V7:V43)</f>
        <v>0</v>
      </c>
      <c r="W44" s="112"/>
      <c r="X44" s="112"/>
      <c r="Y44" s="121"/>
      <c r="Z44" s="121"/>
      <c r="AA44" s="122">
        <f>SUM(AA7:AA43)</f>
        <v>0</v>
      </c>
      <c r="AB44" s="122">
        <f>SUM(AB7:AB43)</f>
        <v>211891891.89189187</v>
      </c>
      <c r="AC44" s="122">
        <f>SUM(AC7:AC43)</f>
        <v>211891891.89189187</v>
      </c>
      <c r="AD44" s="123"/>
      <c r="AE44" s="124"/>
      <c r="AF44" s="112"/>
      <c r="AG44" s="160"/>
      <c r="AH44" s="125"/>
      <c r="AI44" s="176"/>
      <c r="AJ44" s="160"/>
      <c r="AK44" s="556"/>
      <c r="AL44" s="160"/>
    </row>
    <row r="45" spans="1:38" ht="15.95" customHeight="1">
      <c r="C45" s="130"/>
      <c r="D45" s="126"/>
      <c r="E45" s="127"/>
      <c r="F45" s="130"/>
      <c r="G45" s="108"/>
      <c r="H45" s="108"/>
      <c r="I45" s="130"/>
      <c r="K45" s="129"/>
      <c r="L45" s="127"/>
      <c r="M45" s="128"/>
      <c r="N45" s="128"/>
      <c r="O45" s="129"/>
      <c r="P45" s="130" t="s">
        <v>21</v>
      </c>
      <c r="Q45" s="131"/>
      <c r="R45" s="94"/>
      <c r="S45" s="132"/>
      <c r="T45" s="317"/>
      <c r="U45" s="133"/>
      <c r="V45" s="134"/>
      <c r="W45" s="31"/>
      <c r="X45" s="31"/>
      <c r="Y45" s="133"/>
      <c r="Z45" s="133"/>
      <c r="AA45" s="76"/>
      <c r="AB45" s="76"/>
      <c r="AE45" s="136"/>
      <c r="AF45" s="31"/>
    </row>
    <row r="46" spans="1:38" ht="15.95" customHeight="1">
      <c r="C46" s="130"/>
      <c r="D46" s="126"/>
      <c r="E46" s="127"/>
      <c r="F46" s="130"/>
      <c r="G46" s="108"/>
      <c r="H46" s="108"/>
      <c r="I46" s="130"/>
      <c r="K46" s="129"/>
      <c r="L46" s="127"/>
      <c r="M46" s="127"/>
      <c r="N46" s="127"/>
      <c r="O46" s="129"/>
      <c r="P46" s="130"/>
      <c r="Q46" s="131"/>
      <c r="S46" s="132"/>
      <c r="T46" s="317"/>
      <c r="U46" s="108"/>
      <c r="V46" s="137"/>
      <c r="W46" s="108"/>
      <c r="X46" s="108"/>
      <c r="Y46" s="108"/>
      <c r="Z46" s="108"/>
      <c r="AB46" s="76" t="s">
        <v>22</v>
      </c>
      <c r="AC46" s="96"/>
      <c r="AD46" s="98"/>
      <c r="AE46" s="128"/>
      <c r="AF46" s="31"/>
    </row>
    <row r="47" spans="1:38" ht="15.95" customHeight="1">
      <c r="C47" s="130"/>
      <c r="D47" s="126"/>
      <c r="E47" s="127"/>
      <c r="F47" s="130"/>
      <c r="G47" s="108"/>
      <c r="H47" s="108"/>
      <c r="I47" s="130"/>
      <c r="K47" s="129"/>
      <c r="L47" s="127"/>
      <c r="M47" s="127"/>
      <c r="N47" s="127"/>
      <c r="O47" s="129"/>
      <c r="P47" s="130"/>
      <c r="Q47" s="131"/>
      <c r="S47" s="132"/>
      <c r="T47" s="317"/>
      <c r="U47" s="108"/>
      <c r="V47" s="137"/>
      <c r="W47" s="108"/>
      <c r="X47" s="108"/>
      <c r="Y47" s="108"/>
      <c r="Z47" s="108"/>
      <c r="AB47" s="76" t="s">
        <v>23</v>
      </c>
      <c r="AC47" s="96">
        <f>AB44</f>
        <v>211891891.89189187</v>
      </c>
      <c r="AD47" s="98"/>
      <c r="AE47" s="128"/>
      <c r="AF47" s="31"/>
      <c r="AG47" s="4"/>
    </row>
    <row r="48" spans="1:38" ht="15.95" customHeight="1">
      <c r="C48" s="130"/>
      <c r="D48" s="126"/>
      <c r="E48" s="127"/>
      <c r="F48" s="130"/>
      <c r="G48" s="108"/>
      <c r="H48" s="108"/>
      <c r="I48" s="130"/>
      <c r="K48" s="129"/>
      <c r="L48" s="127"/>
      <c r="M48" s="127"/>
      <c r="N48" s="127"/>
      <c r="O48" s="129"/>
      <c r="P48" s="130"/>
      <c r="Q48" s="131"/>
      <c r="S48" s="132"/>
      <c r="T48" s="317"/>
      <c r="U48" s="108"/>
      <c r="V48" s="137"/>
      <c r="W48" s="108"/>
      <c r="X48" s="108"/>
      <c r="Y48" s="108"/>
      <c r="Z48" s="108"/>
      <c r="AB48" s="76" t="s">
        <v>24</v>
      </c>
      <c r="AC48" s="96">
        <f>AC46+AC47</f>
        <v>211891891.89189187</v>
      </c>
      <c r="AD48" s="98"/>
      <c r="AE48" s="128"/>
      <c r="AF48" s="31"/>
      <c r="AG48" s="4"/>
    </row>
    <row r="49" spans="3:33" ht="15.95" customHeight="1">
      <c r="C49" s="130"/>
      <c r="D49" s="126"/>
      <c r="E49" s="127"/>
      <c r="F49" s="130"/>
      <c r="G49" s="108"/>
      <c r="H49" s="108"/>
      <c r="I49" s="130"/>
      <c r="K49" s="129"/>
      <c r="L49" s="127"/>
      <c r="M49" s="127"/>
      <c r="N49" s="127"/>
      <c r="O49" s="129"/>
      <c r="P49" s="130"/>
      <c r="Q49" s="131"/>
      <c r="S49" s="132"/>
      <c r="T49" s="317"/>
      <c r="U49" s="108"/>
      <c r="V49" s="137"/>
      <c r="W49" s="108"/>
      <c r="X49" s="108"/>
      <c r="Y49" s="108"/>
      <c r="Z49" s="108"/>
      <c r="AE49" s="128"/>
      <c r="AF49" s="31"/>
      <c r="AG49" s="4"/>
    </row>
    <row r="50" spans="3:33" ht="15.95" customHeight="1">
      <c r="C50" s="130"/>
      <c r="D50" s="126"/>
      <c r="E50" s="127"/>
      <c r="F50" s="130"/>
      <c r="G50" s="108"/>
      <c r="H50" s="108"/>
      <c r="I50" s="130"/>
      <c r="K50" s="129"/>
      <c r="L50" s="127"/>
      <c r="M50" s="127"/>
      <c r="N50" s="127"/>
      <c r="O50" s="129"/>
      <c r="P50" s="130"/>
      <c r="Q50" s="131"/>
      <c r="S50" s="132"/>
      <c r="T50" s="317"/>
      <c r="U50" s="108"/>
      <c r="V50" s="137"/>
      <c r="W50" s="108"/>
      <c r="X50" s="108"/>
      <c r="Y50" s="108"/>
      <c r="Z50" s="108"/>
      <c r="AB50" s="138" t="s">
        <v>25</v>
      </c>
      <c r="AE50" s="128"/>
      <c r="AF50" s="31"/>
      <c r="AG50" s="4"/>
    </row>
    <row r="51" spans="3:33" ht="15.95" customHeight="1">
      <c r="C51" s="130"/>
      <c r="D51" s="126"/>
      <c r="E51" s="127"/>
      <c r="F51" s="130"/>
      <c r="G51" s="108"/>
      <c r="H51" s="108"/>
      <c r="I51" s="130"/>
      <c r="K51" s="129"/>
      <c r="L51" s="127"/>
      <c r="M51" s="127"/>
      <c r="N51" s="127"/>
      <c r="O51" s="129"/>
      <c r="P51" s="130"/>
      <c r="Q51" s="131"/>
      <c r="S51" s="132"/>
      <c r="T51" s="317"/>
      <c r="U51" s="108"/>
      <c r="V51" s="137"/>
      <c r="W51" s="108"/>
      <c r="X51" s="108"/>
      <c r="Y51" s="108"/>
      <c r="Z51" s="108"/>
      <c r="AE51" s="128"/>
      <c r="AF51" s="31"/>
      <c r="AG51" s="4"/>
    </row>
    <row r="52" spans="3:33" ht="15.95" customHeight="1">
      <c r="C52" s="130"/>
      <c r="D52" s="126"/>
      <c r="E52" s="127"/>
      <c r="F52" s="130"/>
      <c r="G52" s="108"/>
      <c r="H52" s="108"/>
      <c r="I52" s="130"/>
      <c r="K52" s="129"/>
      <c r="L52" s="127"/>
      <c r="M52" s="127"/>
      <c r="N52" s="127"/>
      <c r="O52" s="129"/>
      <c r="P52" s="130"/>
      <c r="Q52" s="131"/>
      <c r="S52" s="132"/>
      <c r="T52" s="317"/>
      <c r="U52" s="108"/>
      <c r="V52" s="137"/>
      <c r="W52" s="108"/>
      <c r="X52" s="108"/>
      <c r="Y52" s="108"/>
      <c r="Z52" s="108"/>
      <c r="AC52" s="87" t="s">
        <v>16</v>
      </c>
      <c r="AE52" s="128"/>
      <c r="AF52" s="31"/>
      <c r="AG52" s="4"/>
    </row>
    <row r="53" spans="3:33" ht="15.95" customHeight="1">
      <c r="C53" s="130"/>
      <c r="D53" s="140"/>
      <c r="E53" s="415"/>
      <c r="F53" s="130"/>
      <c r="G53" s="170"/>
      <c r="H53" s="107"/>
      <c r="I53" s="130"/>
      <c r="K53" s="141"/>
      <c r="L53" s="107"/>
      <c r="M53" s="141"/>
      <c r="N53" s="141"/>
      <c r="O53" s="141"/>
      <c r="P53" s="142"/>
      <c r="Q53" s="131"/>
      <c r="S53" s="132"/>
      <c r="T53" s="317"/>
      <c r="U53" s="108"/>
      <c r="V53" s="137"/>
      <c r="W53" s="108"/>
      <c r="X53" s="108"/>
      <c r="Y53" s="108"/>
      <c r="Z53" s="108"/>
      <c r="AB53" s="143"/>
      <c r="AC53" s="178">
        <f>AC48/AC59*100%</f>
        <v>1.5695695695695695E-2</v>
      </c>
      <c r="AD53" s="145"/>
      <c r="AE53" s="128"/>
      <c r="AF53" s="31"/>
      <c r="AG53" s="4"/>
    </row>
    <row r="54" spans="3:33" ht="15.95" customHeight="1">
      <c r="AG54" s="4"/>
    </row>
    <row r="55" spans="3:33" ht="15.95" customHeight="1">
      <c r="AG55" s="4"/>
    </row>
    <row r="56" spans="3:33" ht="15.95" customHeight="1">
      <c r="AG56" s="4"/>
    </row>
    <row r="57" spans="3:33" ht="15.95" customHeight="1">
      <c r="C57" s="140"/>
      <c r="D57" s="140"/>
      <c r="E57" s="415"/>
      <c r="F57" s="140"/>
      <c r="G57" s="170"/>
      <c r="H57" s="107"/>
      <c r="I57" s="140"/>
      <c r="K57" s="141"/>
      <c r="L57" s="107"/>
      <c r="M57" s="141"/>
      <c r="N57" s="141"/>
      <c r="O57" s="141"/>
      <c r="P57" s="142"/>
      <c r="Q57" s="107"/>
      <c r="R57" s="147"/>
      <c r="S57" s="47"/>
      <c r="T57" s="318"/>
      <c r="U57" s="147"/>
      <c r="V57" s="148"/>
      <c r="W57" s="147"/>
      <c r="X57" s="140"/>
      <c r="Y57" s="140"/>
      <c r="Z57" s="107"/>
      <c r="AA57" s="107"/>
      <c r="AB57" s="149" t="s">
        <v>26</v>
      </c>
      <c r="AC57" s="177">
        <f>DS!AD322</f>
        <v>13500000000</v>
      </c>
      <c r="AE57" s="151"/>
      <c r="AF57" s="140"/>
      <c r="AG57" s="4"/>
    </row>
    <row r="58" spans="3:33" ht="15.95" customHeight="1">
      <c r="C58" s="140"/>
      <c r="D58" s="152"/>
      <c r="E58" s="418"/>
      <c r="F58" s="140"/>
      <c r="G58" s="171"/>
      <c r="H58" s="107"/>
      <c r="I58" s="140"/>
      <c r="K58" s="141"/>
      <c r="L58" s="107"/>
      <c r="M58" s="141"/>
      <c r="N58" s="141"/>
      <c r="O58" s="141"/>
      <c r="P58" s="142"/>
      <c r="Q58" s="107"/>
      <c r="R58" s="147"/>
      <c r="S58" s="47"/>
      <c r="T58" s="318"/>
      <c r="U58" s="147"/>
      <c r="V58" s="148"/>
      <c r="W58" s="147"/>
      <c r="X58" s="140"/>
      <c r="Y58" s="140"/>
      <c r="Z58" s="107"/>
      <c r="AA58" s="107"/>
      <c r="AB58" s="149" t="s">
        <v>27</v>
      </c>
      <c r="AC58" s="177">
        <v>0</v>
      </c>
      <c r="AE58" s="151"/>
      <c r="AF58" s="140"/>
      <c r="AG58" s="4"/>
    </row>
    <row r="59" spans="3:33" ht="15.95" customHeight="1">
      <c r="AB59" s="149" t="s">
        <v>28</v>
      </c>
      <c r="AC59" s="177">
        <f>AC57</f>
        <v>13500000000</v>
      </c>
      <c r="AG59" s="4"/>
    </row>
    <row r="60" spans="3:33" ht="15.95" customHeight="1">
      <c r="AG60" s="4"/>
    </row>
    <row r="65400" ht="12.75" customHeight="1"/>
    <row r="65401" ht="12.75" customHeight="1"/>
    <row r="65402" ht="12.75" customHeight="1"/>
    <row r="65403" ht="12.75" customHeight="1"/>
    <row r="65404" ht="12.75" customHeight="1"/>
    <row r="65405" ht="12.75" customHeight="1"/>
    <row r="65406" ht="12.75" customHeight="1"/>
    <row r="65407" ht="12.75" customHeight="1"/>
    <row r="65408" ht="12.75" customHeight="1"/>
    <row r="65409" ht="12.75" customHeight="1"/>
    <row r="65410" ht="12.75" customHeight="1"/>
    <row r="65411" ht="12.75" customHeight="1"/>
    <row r="65412" ht="12.75" customHeight="1"/>
    <row r="65413" ht="12.75" customHeight="1"/>
    <row r="65414" ht="12.75" customHeight="1"/>
    <row r="65415" ht="12.75" customHeight="1"/>
    <row r="65416" ht="12.75" customHeight="1"/>
    <row r="65512" spans="13:13" ht="15.95" customHeight="1">
      <c r="M65512" s="153"/>
    </row>
  </sheetData>
  <sheetProtection selectLockedCells="1" selectUnlockedCells="1"/>
  <mergeCells count="31">
    <mergeCell ref="AI5:AI6"/>
    <mergeCell ref="AJ5:AJ6"/>
    <mergeCell ref="AL5:AL6"/>
    <mergeCell ref="AH5:AH6"/>
    <mergeCell ref="AC5:AC6"/>
    <mergeCell ref="AD5:AD6"/>
    <mergeCell ref="AE5:AE6"/>
    <mergeCell ref="AF5:AF6"/>
    <mergeCell ref="AG5:AG6"/>
    <mergeCell ref="AK5:AK6"/>
    <mergeCell ref="P5:P6"/>
    <mergeCell ref="Q5:Q6"/>
    <mergeCell ref="R5:R6"/>
    <mergeCell ref="T5:AA5"/>
    <mergeCell ref="AB5:AB6"/>
    <mergeCell ref="S5:S6"/>
    <mergeCell ref="A5:A6"/>
    <mergeCell ref="B5:B6"/>
    <mergeCell ref="C5:C6"/>
    <mergeCell ref="D5:D6"/>
    <mergeCell ref="F5:F6"/>
    <mergeCell ref="E5:E6"/>
    <mergeCell ref="L5:L6"/>
    <mergeCell ref="M5:M6"/>
    <mergeCell ref="N5:N6"/>
    <mergeCell ref="O5:O6"/>
    <mergeCell ref="G5:G6"/>
    <mergeCell ref="H5:H6"/>
    <mergeCell ref="I5:I6"/>
    <mergeCell ref="J5:J6"/>
    <mergeCell ref="K5:K6"/>
  </mergeCells>
  <conditionalFormatting sqref="B12">
    <cfRule type="cellIs" dxfId="26" priority="5" operator="equal">
      <formula>"VOID"</formula>
    </cfRule>
    <cfRule type="cellIs" dxfId="25" priority="6" operator="equal">
      <formula>"NO SALE"</formula>
    </cfRule>
  </conditionalFormatting>
  <conditionalFormatting sqref="B14">
    <cfRule type="cellIs" dxfId="24" priority="3" operator="equal">
      <formula>"VOID"</formula>
    </cfRule>
    <cfRule type="cellIs" dxfId="23" priority="4" operator="equal">
      <formula>"NO SALE"</formula>
    </cfRule>
  </conditionalFormatting>
  <conditionalFormatting sqref="B7">
    <cfRule type="cellIs" dxfId="22" priority="1" operator="equal">
      <formula>"VOID"</formula>
    </cfRule>
    <cfRule type="cellIs" dxfId="21" priority="2" operator="equal">
      <formula>"NO SALE"</formula>
    </cfRule>
  </conditionalFormatting>
  <printOptions horizontalCentered="1"/>
  <pageMargins left="0" right="0" top="0" bottom="0" header="0" footer="0"/>
  <pageSetup scale="27" firstPageNumber="0" orientation="landscape" useFirstPageNumber="1" horizontalDpi="300" verticalDpi="300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Data!$D$1:$D$7</xm:f>
          </x14:formula1>
          <xm:sqref>K12:L12 K13:K43 K7:K11</xm:sqref>
        </x14:dataValidation>
        <x14:dataValidation type="list" allowBlank="1" showInputMessage="1" showErrorMessage="1">
          <x14:formula1>
            <xm:f>Data!$A:$A</xm:f>
          </x14:formula1>
          <xm:sqref>F1:F1048576</xm:sqref>
        </x14:dataValidation>
        <x14:dataValidation type="list" allowBlank="1" showInputMessage="1" showErrorMessage="1">
          <x14:formula1>
            <xm:f>'Sales Support'!$A$2:$A$107</xm:f>
          </x14:formula1>
          <xm:sqref>AG7:AG43</xm:sqref>
        </x14:dataValidation>
        <x14:dataValidation type="list" allowBlank="1" showInputMessage="1" showErrorMessage="1">
          <x14:formula1>
            <xm:f>'Sales Support'!$F$2:$F$4</xm:f>
          </x14:formula1>
          <xm:sqref>AH1:AH1048576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5501"/>
  <sheetViews>
    <sheetView zoomScale="80" zoomScaleNormal="80" zoomScaleSheetLayoutView="10" workbookViewId="0">
      <pane xSplit="4" ySplit="6" topLeftCell="E10" activePane="bottomRight" state="frozen"/>
      <selection activeCell="Y52" sqref="Y52"/>
      <selection pane="topRight" activeCell="Y52" sqref="Y52"/>
      <selection pane="bottomLeft" activeCell="Y52" sqref="Y52"/>
      <selection pane="bottomRight" activeCell="C26" sqref="C26"/>
    </sheetView>
  </sheetViews>
  <sheetFormatPr defaultColWidth="8.5" defaultRowHeight="15.95" customHeight="1"/>
  <cols>
    <col min="1" max="1" width="18.125" style="33" customWidth="1"/>
    <col min="2" max="2" width="18.25" style="34" customWidth="1"/>
    <col min="3" max="3" width="35.5" style="34" customWidth="1"/>
    <col min="4" max="5" width="30.75" style="146" customWidth="1"/>
    <col min="6" max="6" width="15.25" style="34" customWidth="1"/>
    <col min="7" max="8" width="6.75" style="33" customWidth="1"/>
    <col min="9" max="9" width="6.75" style="34" customWidth="1"/>
    <col min="10" max="10" width="6.75" style="33" customWidth="1"/>
    <col min="11" max="11" width="10.5" style="102" bestFit="1" customWidth="1"/>
    <col min="12" max="12" width="12.75" style="45" customWidth="1"/>
    <col min="13" max="13" width="12.625" style="45" bestFit="1" customWidth="1"/>
    <col min="14" max="14" width="12.75" style="45" customWidth="1"/>
    <col min="15" max="15" width="90.25" style="102" customWidth="1"/>
    <col min="16" max="16" width="4.25" style="34" customWidth="1"/>
    <col min="17" max="17" width="17.75" style="83" customWidth="1"/>
    <col min="18" max="18" width="8.75" style="33" customWidth="1"/>
    <col min="19" max="19" width="16.75" style="84" customWidth="1"/>
    <col min="20" max="20" width="19.125" style="84" customWidth="1"/>
    <col min="21" max="21" width="15" style="33" customWidth="1"/>
    <col min="22" max="22" width="14.5" style="95" customWidth="1"/>
    <col min="23" max="23" width="13.75" style="33" customWidth="1"/>
    <col min="24" max="24" width="20.25" style="33" customWidth="1"/>
    <col min="25" max="25" width="12.75" style="33" customWidth="1"/>
    <col min="26" max="26" width="17.875" style="33" customWidth="1"/>
    <col min="27" max="27" width="19.5" style="87" customWidth="1"/>
    <col min="28" max="28" width="21.75" style="87" customWidth="1"/>
    <col min="29" max="29" width="24.75" style="76" customWidth="1"/>
    <col min="30" max="30" width="15.375" style="26" customWidth="1"/>
    <col min="31" max="33" width="30.5" style="33" customWidth="1"/>
    <col min="34" max="252" width="8.5" style="4" customWidth="1"/>
    <col min="253" max="16384" width="8.5" style="4"/>
  </cols>
  <sheetData>
    <row r="1" spans="1:33" ht="15">
      <c r="A1" s="69" t="str">
        <f>DS!A1</f>
        <v>BVLGARI – Plaza Indonesia</v>
      </c>
      <c r="B1" s="70"/>
      <c r="C1" s="78"/>
      <c r="D1" s="71"/>
      <c r="E1" s="71"/>
      <c r="F1" s="78"/>
      <c r="G1" s="30"/>
      <c r="H1" s="30"/>
      <c r="K1" s="73"/>
      <c r="L1" s="37"/>
      <c r="M1" s="72"/>
      <c r="N1" s="72"/>
      <c r="O1" s="73"/>
      <c r="P1" s="70"/>
      <c r="Q1" s="69"/>
      <c r="R1" s="74"/>
      <c r="S1" s="75"/>
      <c r="T1" s="75"/>
      <c r="U1" s="69"/>
      <c r="V1" s="75"/>
      <c r="W1" s="30"/>
      <c r="X1" s="30"/>
      <c r="Y1" s="69"/>
      <c r="Z1" s="69"/>
      <c r="AA1" s="76"/>
      <c r="AB1" s="76"/>
      <c r="AD1" s="37"/>
    </row>
    <row r="2" spans="1:33" ht="19.350000000000001" customHeight="1">
      <c r="A2" s="69" t="s">
        <v>631</v>
      </c>
      <c r="B2" s="70"/>
      <c r="D2" s="71"/>
      <c r="E2" s="71"/>
      <c r="K2" s="82"/>
      <c r="L2" s="79"/>
      <c r="M2" s="80"/>
      <c r="N2" s="81"/>
      <c r="O2" s="82"/>
      <c r="U2" s="85"/>
      <c r="V2" s="86"/>
      <c r="Y2" s="85"/>
      <c r="Z2" s="85"/>
      <c r="AD2" s="88"/>
    </row>
    <row r="3" spans="1:33" ht="19.350000000000001" customHeight="1">
      <c r="A3" s="90" t="s">
        <v>611</v>
      </c>
      <c r="B3" s="154">
        <f>DS!B3</f>
        <v>46266</v>
      </c>
      <c r="C3" s="100"/>
      <c r="D3" s="91"/>
      <c r="E3" s="91"/>
      <c r="F3" s="100"/>
      <c r="K3" s="25"/>
      <c r="L3" s="26"/>
      <c r="M3" s="92"/>
      <c r="N3" s="93"/>
      <c r="O3" s="25"/>
      <c r="R3" s="94"/>
      <c r="U3" s="85"/>
      <c r="V3" s="86"/>
      <c r="Y3" s="95"/>
      <c r="Z3" s="95"/>
      <c r="AA3" s="96"/>
      <c r="AB3" s="96"/>
      <c r="AC3" s="97"/>
    </row>
    <row r="4" spans="1:33" ht="17.100000000000001" customHeight="1">
      <c r="A4" s="74"/>
      <c r="B4" s="78"/>
      <c r="C4" s="106"/>
      <c r="D4" s="35"/>
      <c r="E4" s="35"/>
      <c r="F4" s="106"/>
      <c r="L4" s="26"/>
      <c r="M4" s="101"/>
      <c r="N4" s="101"/>
      <c r="Q4" s="103"/>
      <c r="R4" s="94"/>
      <c r="S4" s="104"/>
      <c r="T4" s="104"/>
      <c r="U4" s="89"/>
      <c r="V4" s="105"/>
      <c r="W4" s="30"/>
      <c r="X4" s="30"/>
      <c r="Y4" s="95"/>
      <c r="Z4" s="95"/>
      <c r="AA4" s="96"/>
      <c r="AB4" s="96"/>
      <c r="AC4" s="97"/>
    </row>
    <row r="5" spans="1:33" ht="17.100000000000001" customHeight="1">
      <c r="A5" s="921" t="s">
        <v>1</v>
      </c>
      <c r="B5" s="921" t="s">
        <v>632</v>
      </c>
      <c r="C5" s="935" t="s">
        <v>620</v>
      </c>
      <c r="D5" s="923" t="s">
        <v>3</v>
      </c>
      <c r="E5" s="944" t="s">
        <v>794</v>
      </c>
      <c r="F5" s="935" t="s">
        <v>17</v>
      </c>
      <c r="G5" s="935" t="s">
        <v>4</v>
      </c>
      <c r="H5" s="935" t="s">
        <v>5</v>
      </c>
      <c r="I5" s="935" t="s">
        <v>621</v>
      </c>
      <c r="J5" s="935" t="s">
        <v>622</v>
      </c>
      <c r="K5" s="935" t="s">
        <v>614</v>
      </c>
      <c r="L5" s="925" t="s">
        <v>6</v>
      </c>
      <c r="M5" s="921" t="s">
        <v>613</v>
      </c>
      <c r="N5" s="921" t="s">
        <v>612</v>
      </c>
      <c r="O5" s="923" t="s">
        <v>7</v>
      </c>
      <c r="P5" s="925" t="s">
        <v>8</v>
      </c>
      <c r="Q5" s="927" t="s">
        <v>9</v>
      </c>
      <c r="R5" s="945" t="s">
        <v>10</v>
      </c>
      <c r="S5" s="967" t="s">
        <v>11</v>
      </c>
      <c r="T5" s="934" t="s">
        <v>12</v>
      </c>
      <c r="U5" s="934"/>
      <c r="V5" s="934"/>
      <c r="W5" s="934"/>
      <c r="X5" s="934"/>
      <c r="Y5" s="934"/>
      <c r="Z5" s="934"/>
      <c r="AA5" s="934"/>
      <c r="AB5" s="919" t="s">
        <v>44</v>
      </c>
      <c r="AC5" s="917" t="s">
        <v>617</v>
      </c>
      <c r="AD5" s="935" t="s">
        <v>610</v>
      </c>
      <c r="AE5" s="935" t="s">
        <v>627</v>
      </c>
      <c r="AF5" s="937" t="s">
        <v>752</v>
      </c>
      <c r="AG5" s="935" t="s">
        <v>623</v>
      </c>
    </row>
    <row r="6" spans="1:33" ht="17.100000000000001" customHeight="1">
      <c r="A6" s="922"/>
      <c r="B6" s="922"/>
      <c r="C6" s="936"/>
      <c r="D6" s="924"/>
      <c r="E6" s="944"/>
      <c r="F6" s="936"/>
      <c r="G6" s="936"/>
      <c r="H6" s="936"/>
      <c r="I6" s="936"/>
      <c r="J6" s="936"/>
      <c r="K6" s="936"/>
      <c r="L6" s="926"/>
      <c r="M6" s="922"/>
      <c r="N6" s="922"/>
      <c r="O6" s="924"/>
      <c r="P6" s="926"/>
      <c r="Q6" s="928"/>
      <c r="R6" s="946"/>
      <c r="S6" s="968"/>
      <c r="T6" s="161" t="s">
        <v>624</v>
      </c>
      <c r="U6" s="158" t="s">
        <v>18</v>
      </c>
      <c r="V6" s="156" t="s">
        <v>19</v>
      </c>
      <c r="W6" s="158" t="s">
        <v>13</v>
      </c>
      <c r="X6" s="158" t="s">
        <v>615</v>
      </c>
      <c r="Y6" s="158" t="s">
        <v>14</v>
      </c>
      <c r="Z6" s="158" t="s">
        <v>616</v>
      </c>
      <c r="AA6" s="159" t="s">
        <v>15</v>
      </c>
      <c r="AB6" s="920"/>
      <c r="AC6" s="918"/>
      <c r="AD6" s="936"/>
      <c r="AE6" s="936"/>
      <c r="AF6" s="936"/>
      <c r="AG6" s="936"/>
    </row>
    <row r="7" spans="1:33" s="242" customFormat="1" ht="15">
      <c r="A7" s="661"/>
      <c r="B7" s="587"/>
      <c r="C7" s="676"/>
      <c r="D7" s="586"/>
      <c r="E7" s="702"/>
      <c r="F7" s="254"/>
      <c r="G7" s="254"/>
      <c r="H7" s="254"/>
      <c r="I7" s="254"/>
      <c r="J7" s="254"/>
      <c r="K7" s="254"/>
      <c r="L7" s="254"/>
      <c r="M7" s="676"/>
      <c r="N7" s="254"/>
      <c r="O7" s="703"/>
      <c r="P7" s="254"/>
      <c r="Q7" s="588"/>
      <c r="R7" s="255" t="e">
        <f t="shared" ref="R7:R13" si="0">(Q7-S7)/Q7*100</f>
        <v>#DIV/0!</v>
      </c>
      <c r="S7" s="588"/>
      <c r="T7" s="588"/>
      <c r="U7" s="588"/>
      <c r="V7" s="589"/>
      <c r="W7" s="254"/>
      <c r="X7" s="254"/>
      <c r="Y7" s="254"/>
      <c r="Z7" s="254"/>
      <c r="AA7" s="257"/>
      <c r="AB7" s="257">
        <f t="shared" ref="AB7:AB12" si="1">(S7/1.11)</f>
        <v>0</v>
      </c>
      <c r="AC7" s="279"/>
      <c r="AD7" s="337"/>
      <c r="AE7" s="579"/>
      <c r="AF7" s="293"/>
      <c r="AG7" s="269"/>
    </row>
    <row r="8" spans="1:33" s="242" customFormat="1" ht="18.75" customHeight="1">
      <c r="A8" s="661"/>
      <c r="B8" s="254"/>
      <c r="C8" s="676"/>
      <c r="D8" s="256"/>
      <c r="E8" s="701"/>
      <c r="F8" s="254"/>
      <c r="G8" s="254"/>
      <c r="H8" s="254"/>
      <c r="I8" s="254"/>
      <c r="J8" s="254"/>
      <c r="K8" s="254"/>
      <c r="L8" s="254"/>
      <c r="M8" s="254"/>
      <c r="N8" s="254"/>
      <c r="O8" s="256"/>
      <c r="P8" s="254"/>
      <c r="Q8" s="588"/>
      <c r="R8" s="255" t="e">
        <f t="shared" si="0"/>
        <v>#DIV/0!</v>
      </c>
      <c r="S8" s="588"/>
      <c r="T8" s="588"/>
      <c r="U8" s="588"/>
      <c r="V8" s="588"/>
      <c r="W8" s="254"/>
      <c r="X8" s="254"/>
      <c r="Y8" s="254"/>
      <c r="Z8" s="254"/>
      <c r="AA8" s="257"/>
      <c r="AB8" s="257">
        <f t="shared" si="1"/>
        <v>0</v>
      </c>
      <c r="AC8" s="279"/>
      <c r="AD8" s="337"/>
      <c r="AE8" s="590"/>
      <c r="AF8" s="293"/>
      <c r="AG8" s="801"/>
    </row>
    <row r="9" spans="1:33" s="242" customFormat="1" ht="15">
      <c r="A9" s="661"/>
      <c r="B9" s="254"/>
      <c r="C9" s="676"/>
      <c r="D9" s="256"/>
      <c r="E9" s="654"/>
      <c r="F9" s="254"/>
      <c r="G9" s="254"/>
      <c r="H9" s="254"/>
      <c r="I9" s="254"/>
      <c r="J9" s="254"/>
      <c r="K9" s="254"/>
      <c r="L9" s="254"/>
      <c r="M9" s="254"/>
      <c r="N9" s="254"/>
      <c r="O9" s="256"/>
      <c r="P9" s="254"/>
      <c r="Q9" s="588"/>
      <c r="R9" s="255" t="e">
        <f t="shared" si="0"/>
        <v>#DIV/0!</v>
      </c>
      <c r="S9" s="588"/>
      <c r="T9" s="588"/>
      <c r="U9" s="588"/>
      <c r="V9" s="588"/>
      <c r="W9" s="254"/>
      <c r="X9" s="254"/>
      <c r="Y9" s="254"/>
      <c r="Z9" s="254"/>
      <c r="AA9" s="257"/>
      <c r="AB9" s="257">
        <f t="shared" si="1"/>
        <v>0</v>
      </c>
      <c r="AC9" s="279"/>
      <c r="AD9" s="337"/>
      <c r="AE9" s="590"/>
      <c r="AF9" s="293"/>
      <c r="AG9" s="269"/>
    </row>
    <row r="10" spans="1:33" s="242" customFormat="1" ht="15">
      <c r="A10" s="718"/>
      <c r="B10" s="254"/>
      <c r="C10" s="254"/>
      <c r="D10" s="256"/>
      <c r="E10" s="702"/>
      <c r="F10" s="254"/>
      <c r="G10" s="254"/>
      <c r="H10" s="254"/>
      <c r="I10" s="254"/>
      <c r="J10" s="254"/>
      <c r="K10" s="254"/>
      <c r="L10" s="254"/>
      <c r="M10" s="676"/>
      <c r="N10" s="254"/>
      <c r="O10" s="703"/>
      <c r="P10" s="254"/>
      <c r="Q10" s="588"/>
      <c r="R10" s="255" t="e">
        <f t="shared" si="0"/>
        <v>#DIV/0!</v>
      </c>
      <c r="S10" s="588"/>
      <c r="T10" s="588"/>
      <c r="U10" s="588"/>
      <c r="V10" s="588"/>
      <c r="W10" s="254"/>
      <c r="X10" s="254"/>
      <c r="Y10" s="254"/>
      <c r="Z10" s="254"/>
      <c r="AA10" s="257"/>
      <c r="AB10" s="257">
        <f t="shared" si="1"/>
        <v>0</v>
      </c>
      <c r="AC10" s="279"/>
      <c r="AD10" s="337"/>
      <c r="AE10" s="590"/>
      <c r="AF10" s="293"/>
      <c r="AG10" s="269"/>
    </row>
    <row r="11" spans="1:33" s="242" customFormat="1" ht="15">
      <c r="A11" s="718"/>
      <c r="B11" s="254"/>
      <c r="C11" s="254"/>
      <c r="D11" s="256"/>
      <c r="E11" s="702"/>
      <c r="F11" s="254"/>
      <c r="G11" s="254"/>
      <c r="H11" s="254"/>
      <c r="I11" s="254"/>
      <c r="J11" s="254"/>
      <c r="K11" s="254"/>
      <c r="L11" s="254"/>
      <c r="M11" s="676"/>
      <c r="N11" s="254"/>
      <c r="O11" s="703"/>
      <c r="P11" s="254"/>
      <c r="Q11" s="588"/>
      <c r="R11" s="255" t="e">
        <f t="shared" si="0"/>
        <v>#DIV/0!</v>
      </c>
      <c r="S11" s="588"/>
      <c r="T11" s="588"/>
      <c r="U11" s="588"/>
      <c r="V11" s="588"/>
      <c r="W11" s="254"/>
      <c r="X11" s="254"/>
      <c r="Y11" s="254"/>
      <c r="Z11" s="254"/>
      <c r="AA11" s="257"/>
      <c r="AB11" s="257">
        <f t="shared" si="1"/>
        <v>0</v>
      </c>
      <c r="AC11" s="279"/>
      <c r="AD11" s="337"/>
      <c r="AE11" s="590"/>
      <c r="AF11" s="293"/>
      <c r="AG11" s="269"/>
    </row>
    <row r="12" spans="1:33" s="242" customFormat="1" ht="15">
      <c r="A12" s="591"/>
      <c r="B12" s="254"/>
      <c r="C12" s="254"/>
      <c r="D12" s="256"/>
      <c r="E12" s="654"/>
      <c r="F12" s="254"/>
      <c r="G12" s="254"/>
      <c r="H12" s="254"/>
      <c r="I12" s="254"/>
      <c r="J12" s="254"/>
      <c r="K12" s="254"/>
      <c r="L12" s="254"/>
      <c r="M12" s="254"/>
      <c r="N12" s="254"/>
      <c r="O12" s="256"/>
      <c r="P12" s="254"/>
      <c r="Q12" s="588"/>
      <c r="R12" s="255" t="e">
        <f t="shared" si="0"/>
        <v>#DIV/0!</v>
      </c>
      <c r="S12" s="588"/>
      <c r="T12" s="588"/>
      <c r="U12" s="588"/>
      <c r="V12" s="588"/>
      <c r="W12" s="254"/>
      <c r="X12" s="254"/>
      <c r="Y12" s="254"/>
      <c r="Z12" s="254"/>
      <c r="AA12" s="257"/>
      <c r="AB12" s="257">
        <f t="shared" si="1"/>
        <v>0</v>
      </c>
      <c r="AC12" s="324"/>
      <c r="AD12" s="579"/>
      <c r="AE12" s="590"/>
      <c r="AF12" s="293"/>
      <c r="AG12" s="269"/>
    </row>
    <row r="13" spans="1:33" s="242" customFormat="1" ht="15">
      <c r="A13" s="591"/>
      <c r="B13" s="254"/>
      <c r="C13" s="254"/>
      <c r="D13" s="256"/>
      <c r="E13" s="654"/>
      <c r="F13" s="254"/>
      <c r="G13" s="254"/>
      <c r="H13" s="254"/>
      <c r="I13" s="254"/>
      <c r="J13" s="254"/>
      <c r="K13" s="254"/>
      <c r="L13" s="254"/>
      <c r="M13" s="254"/>
      <c r="N13" s="254"/>
      <c r="O13" s="256"/>
      <c r="P13" s="254"/>
      <c r="Q13" s="588"/>
      <c r="R13" s="255" t="e">
        <f t="shared" si="0"/>
        <v>#DIV/0!</v>
      </c>
      <c r="S13" s="588"/>
      <c r="T13" s="588"/>
      <c r="U13" s="589"/>
      <c r="V13" s="588"/>
      <c r="W13" s="254"/>
      <c r="X13" s="254"/>
      <c r="Y13" s="254"/>
      <c r="Z13" s="254"/>
      <c r="AA13" s="257"/>
      <c r="AB13" s="257">
        <v>0</v>
      </c>
      <c r="AC13" s="324"/>
      <c r="AD13" s="579"/>
      <c r="AE13" s="590"/>
      <c r="AF13" s="293"/>
      <c r="AG13" s="579"/>
    </row>
    <row r="14" spans="1:33" s="242" customFormat="1" ht="15">
      <c r="A14" s="591"/>
      <c r="B14" s="254"/>
      <c r="C14" s="254"/>
      <c r="D14" s="256"/>
      <c r="E14" s="654"/>
      <c r="F14" s="254"/>
      <c r="G14" s="254"/>
      <c r="H14" s="254"/>
      <c r="I14" s="254"/>
      <c r="J14" s="254"/>
      <c r="K14" s="254"/>
      <c r="L14" s="254"/>
      <c r="M14" s="254"/>
      <c r="N14" s="254"/>
      <c r="O14" s="592"/>
      <c r="P14" s="254"/>
      <c r="Q14" s="588"/>
      <c r="R14" s="255" t="e">
        <f t="shared" ref="R14:R15" si="2">(Q14-S14)/Q14*100</f>
        <v>#DIV/0!</v>
      </c>
      <c r="S14" s="588"/>
      <c r="T14" s="588"/>
      <c r="U14" s="589"/>
      <c r="V14" s="588"/>
      <c r="W14" s="254"/>
      <c r="X14" s="254"/>
      <c r="Y14" s="254"/>
      <c r="Z14" s="254"/>
      <c r="AA14" s="257"/>
      <c r="AB14" s="257">
        <f t="shared" ref="AB14:AB15" si="3">(S14/1.11)</f>
        <v>0</v>
      </c>
      <c r="AC14" s="593"/>
      <c r="AD14" s="579"/>
      <c r="AE14" s="590"/>
      <c r="AF14" s="293"/>
      <c r="AG14" s="579"/>
    </row>
    <row r="15" spans="1:33" s="242" customFormat="1" ht="15">
      <c r="A15" s="591"/>
      <c r="B15" s="254"/>
      <c r="C15" s="254"/>
      <c r="D15" s="256"/>
      <c r="E15" s="654"/>
      <c r="F15" s="254"/>
      <c r="G15" s="254"/>
      <c r="H15" s="254"/>
      <c r="I15" s="254"/>
      <c r="J15" s="254"/>
      <c r="K15" s="254"/>
      <c r="L15" s="254"/>
      <c r="M15" s="254"/>
      <c r="N15" s="254"/>
      <c r="O15" s="592"/>
      <c r="P15" s="254"/>
      <c r="Q15" s="588"/>
      <c r="R15" s="255" t="e">
        <f t="shared" si="2"/>
        <v>#DIV/0!</v>
      </c>
      <c r="S15" s="588"/>
      <c r="T15" s="588"/>
      <c r="U15" s="589"/>
      <c r="V15" s="588"/>
      <c r="W15" s="254"/>
      <c r="X15" s="254"/>
      <c r="Y15" s="254"/>
      <c r="Z15" s="254"/>
      <c r="AA15" s="257"/>
      <c r="AB15" s="257">
        <f t="shared" si="3"/>
        <v>0</v>
      </c>
      <c r="AC15" s="279"/>
      <c r="AD15" s="579"/>
      <c r="AE15" s="590"/>
      <c r="AF15" s="293"/>
      <c r="AG15" s="269"/>
    </row>
    <row r="16" spans="1:33" s="242" customFormat="1" ht="15">
      <c r="A16" s="591"/>
      <c r="B16" s="254"/>
      <c r="C16" s="254"/>
      <c r="D16" s="256"/>
      <c r="E16" s="654"/>
      <c r="F16" s="254"/>
      <c r="G16" s="254"/>
      <c r="H16" s="254"/>
      <c r="I16" s="254"/>
      <c r="J16" s="254"/>
      <c r="K16" s="594"/>
      <c r="L16" s="254"/>
      <c r="M16" s="254"/>
      <c r="N16" s="254"/>
      <c r="O16" s="592"/>
      <c r="P16" s="254"/>
      <c r="Q16" s="588"/>
      <c r="R16" s="255" t="e">
        <f t="shared" ref="R16:R32" si="4">(Q16-S16)/Q16*100</f>
        <v>#DIV/0!</v>
      </c>
      <c r="S16" s="588"/>
      <c r="T16" s="588"/>
      <c r="U16" s="588"/>
      <c r="V16" s="588"/>
      <c r="W16" s="254"/>
      <c r="X16" s="254"/>
      <c r="Y16" s="254"/>
      <c r="Z16" s="254"/>
      <c r="AA16" s="257"/>
      <c r="AB16" s="257">
        <f t="shared" ref="AB16:AB32" si="5">(S16/1.11)</f>
        <v>0</v>
      </c>
      <c r="AC16" s="593"/>
      <c r="AD16" s="579"/>
      <c r="AE16" s="590"/>
      <c r="AF16" s="293"/>
      <c r="AG16" s="579"/>
    </row>
    <row r="17" spans="1:33" s="242" customFormat="1" ht="15">
      <c r="A17" s="591"/>
      <c r="B17" s="254"/>
      <c r="C17" s="254"/>
      <c r="D17" s="256"/>
      <c r="E17" s="654"/>
      <c r="F17" s="254"/>
      <c r="G17" s="254"/>
      <c r="H17" s="254"/>
      <c r="I17" s="254"/>
      <c r="J17" s="254"/>
      <c r="K17" s="594"/>
      <c r="L17" s="254"/>
      <c r="M17" s="254"/>
      <c r="N17" s="254"/>
      <c r="O17" s="592"/>
      <c r="P17" s="254"/>
      <c r="Q17" s="588"/>
      <c r="R17" s="255" t="e">
        <f t="shared" si="4"/>
        <v>#DIV/0!</v>
      </c>
      <c r="S17" s="588"/>
      <c r="T17" s="588"/>
      <c r="U17" s="589"/>
      <c r="V17" s="588"/>
      <c r="W17" s="254"/>
      <c r="X17" s="254"/>
      <c r="Y17" s="254"/>
      <c r="Z17" s="254"/>
      <c r="AA17" s="257"/>
      <c r="AB17" s="257">
        <f t="shared" si="5"/>
        <v>0</v>
      </c>
      <c r="AC17" s="593"/>
      <c r="AD17" s="579"/>
      <c r="AE17" s="590"/>
      <c r="AF17" s="293"/>
      <c r="AG17" s="579"/>
    </row>
    <row r="18" spans="1:33" s="242" customFormat="1" ht="15">
      <c r="A18" s="591"/>
      <c r="B18" s="254"/>
      <c r="C18" s="254"/>
      <c r="D18" s="256"/>
      <c r="E18" s="654"/>
      <c r="F18" s="254"/>
      <c r="G18" s="254"/>
      <c r="H18" s="254"/>
      <c r="I18" s="254"/>
      <c r="J18" s="254"/>
      <c r="K18" s="594"/>
      <c r="L18" s="254"/>
      <c r="M18" s="254"/>
      <c r="N18" s="254"/>
      <c r="O18" s="592"/>
      <c r="P18" s="254"/>
      <c r="Q18" s="588"/>
      <c r="R18" s="255" t="e">
        <f t="shared" si="4"/>
        <v>#DIV/0!</v>
      </c>
      <c r="S18" s="588"/>
      <c r="T18" s="588"/>
      <c r="U18" s="589"/>
      <c r="V18" s="588"/>
      <c r="W18" s="254"/>
      <c r="X18" s="254"/>
      <c r="Y18" s="254"/>
      <c r="Z18" s="254"/>
      <c r="AA18" s="257"/>
      <c r="AB18" s="257">
        <f t="shared" si="5"/>
        <v>0</v>
      </c>
      <c r="AC18" s="593"/>
      <c r="AD18" s="579"/>
      <c r="AE18" s="590"/>
      <c r="AF18" s="293"/>
      <c r="AG18" s="579"/>
    </row>
    <row r="19" spans="1:33" s="242" customFormat="1" ht="15">
      <c r="A19" s="591"/>
      <c r="B19" s="254"/>
      <c r="C19" s="254"/>
      <c r="D19" s="256"/>
      <c r="E19" s="654"/>
      <c r="F19" s="254"/>
      <c r="G19" s="254"/>
      <c r="H19" s="254"/>
      <c r="I19" s="254"/>
      <c r="J19" s="254"/>
      <c r="K19" s="594"/>
      <c r="L19" s="254"/>
      <c r="M19" s="254"/>
      <c r="N19" s="254"/>
      <c r="O19" s="592"/>
      <c r="P19" s="254"/>
      <c r="Q19" s="588"/>
      <c r="R19" s="255" t="e">
        <f t="shared" si="4"/>
        <v>#DIV/0!</v>
      </c>
      <c r="S19" s="588"/>
      <c r="T19" s="588"/>
      <c r="U19" s="589"/>
      <c r="V19" s="588"/>
      <c r="W19" s="254"/>
      <c r="X19" s="254"/>
      <c r="Y19" s="254"/>
      <c r="Z19" s="254"/>
      <c r="AA19" s="257"/>
      <c r="AB19" s="257">
        <f t="shared" si="5"/>
        <v>0</v>
      </c>
      <c r="AC19" s="593"/>
      <c r="AD19" s="579"/>
      <c r="AE19" s="590"/>
      <c r="AF19" s="293"/>
      <c r="AG19" s="579"/>
    </row>
    <row r="20" spans="1:33" s="242" customFormat="1" ht="15">
      <c r="A20" s="591"/>
      <c r="B20" s="254"/>
      <c r="C20" s="254"/>
      <c r="D20" s="256"/>
      <c r="E20" s="654"/>
      <c r="F20" s="254"/>
      <c r="G20" s="254"/>
      <c r="H20" s="254"/>
      <c r="I20" s="254"/>
      <c r="J20" s="254"/>
      <c r="K20" s="594"/>
      <c r="L20" s="254"/>
      <c r="M20" s="254"/>
      <c r="N20" s="254"/>
      <c r="O20" s="592"/>
      <c r="P20" s="254"/>
      <c r="Q20" s="588"/>
      <c r="R20" s="255" t="e">
        <f t="shared" si="4"/>
        <v>#DIV/0!</v>
      </c>
      <c r="S20" s="588"/>
      <c r="T20" s="588"/>
      <c r="U20" s="589"/>
      <c r="V20" s="588"/>
      <c r="W20" s="254"/>
      <c r="X20" s="254"/>
      <c r="Y20" s="254"/>
      <c r="Z20" s="254"/>
      <c r="AA20" s="257"/>
      <c r="AB20" s="257">
        <f t="shared" si="5"/>
        <v>0</v>
      </c>
      <c r="AC20" s="593"/>
      <c r="AD20" s="579"/>
      <c r="AE20" s="590"/>
      <c r="AF20" s="293"/>
      <c r="AG20" s="579"/>
    </row>
    <row r="21" spans="1:33" s="242" customFormat="1" ht="15">
      <c r="A21" s="591"/>
      <c r="B21" s="254"/>
      <c r="C21" s="254"/>
      <c r="D21" s="256"/>
      <c r="E21" s="654"/>
      <c r="F21" s="254"/>
      <c r="G21" s="254"/>
      <c r="H21" s="254"/>
      <c r="I21" s="254"/>
      <c r="J21" s="254"/>
      <c r="K21" s="594"/>
      <c r="L21" s="254"/>
      <c r="M21" s="254"/>
      <c r="N21" s="254"/>
      <c r="O21" s="592"/>
      <c r="P21" s="254"/>
      <c r="Q21" s="588"/>
      <c r="R21" s="255" t="e">
        <f t="shared" si="4"/>
        <v>#DIV/0!</v>
      </c>
      <c r="S21" s="588"/>
      <c r="T21" s="588"/>
      <c r="U21" s="589"/>
      <c r="V21" s="588"/>
      <c r="W21" s="254"/>
      <c r="X21" s="254"/>
      <c r="Y21" s="254"/>
      <c r="Z21" s="254"/>
      <c r="AA21" s="257"/>
      <c r="AB21" s="257">
        <f t="shared" si="5"/>
        <v>0</v>
      </c>
      <c r="AC21" s="593"/>
      <c r="AD21" s="579"/>
      <c r="AE21" s="590"/>
      <c r="AF21" s="293"/>
      <c r="AG21" s="579"/>
    </row>
    <row r="22" spans="1:33" s="242" customFormat="1" ht="15">
      <c r="A22" s="591"/>
      <c r="B22" s="254"/>
      <c r="C22" s="254"/>
      <c r="D22" s="256"/>
      <c r="E22" s="654"/>
      <c r="F22" s="254"/>
      <c r="G22" s="254"/>
      <c r="H22" s="254"/>
      <c r="I22" s="254"/>
      <c r="J22" s="254"/>
      <c r="K22" s="594"/>
      <c r="L22" s="254"/>
      <c r="M22" s="254"/>
      <c r="N22" s="254"/>
      <c r="O22" s="592"/>
      <c r="P22" s="254"/>
      <c r="Q22" s="588"/>
      <c r="R22" s="255" t="e">
        <f t="shared" si="4"/>
        <v>#DIV/0!</v>
      </c>
      <c r="S22" s="588"/>
      <c r="T22" s="588"/>
      <c r="U22" s="589"/>
      <c r="V22" s="588"/>
      <c r="W22" s="254"/>
      <c r="X22" s="254"/>
      <c r="Y22" s="254"/>
      <c r="Z22" s="254"/>
      <c r="AA22" s="257"/>
      <c r="AB22" s="257">
        <f t="shared" si="5"/>
        <v>0</v>
      </c>
      <c r="AC22" s="257"/>
      <c r="AD22" s="254"/>
      <c r="AE22" s="595"/>
      <c r="AF22" s="251"/>
      <c r="AG22" s="254"/>
    </row>
    <row r="23" spans="1:33" s="242" customFormat="1" ht="15">
      <c r="A23" s="591"/>
      <c r="B23" s="254"/>
      <c r="C23" s="254"/>
      <c r="D23" s="256"/>
      <c r="E23" s="654"/>
      <c r="F23" s="254"/>
      <c r="G23" s="254"/>
      <c r="H23" s="254"/>
      <c r="I23" s="254"/>
      <c r="J23" s="254"/>
      <c r="K23" s="594"/>
      <c r="L23" s="254"/>
      <c r="M23" s="254"/>
      <c r="N23" s="254"/>
      <c r="O23" s="592"/>
      <c r="P23" s="254"/>
      <c r="Q23" s="588"/>
      <c r="R23" s="255" t="e">
        <f t="shared" si="4"/>
        <v>#DIV/0!</v>
      </c>
      <c r="S23" s="588"/>
      <c r="T23" s="588"/>
      <c r="U23" s="589"/>
      <c r="V23" s="588"/>
      <c r="W23" s="254"/>
      <c r="X23" s="254"/>
      <c r="Y23" s="254"/>
      <c r="Z23" s="254"/>
      <c r="AA23" s="257"/>
      <c r="AB23" s="257">
        <f t="shared" si="5"/>
        <v>0</v>
      </c>
      <c r="AC23" s="257"/>
      <c r="AD23" s="254"/>
      <c r="AE23" s="596"/>
      <c r="AF23" s="251"/>
      <c r="AG23" s="254"/>
    </row>
    <row r="24" spans="1:33" s="242" customFormat="1" ht="15">
      <c r="A24" s="591"/>
      <c r="B24" s="254"/>
      <c r="C24" s="254"/>
      <c r="D24" s="256"/>
      <c r="E24" s="654"/>
      <c r="F24" s="254"/>
      <c r="G24" s="254"/>
      <c r="H24" s="254"/>
      <c r="I24" s="254"/>
      <c r="J24" s="254"/>
      <c r="K24" s="594"/>
      <c r="L24" s="254"/>
      <c r="M24" s="254"/>
      <c r="N24" s="254"/>
      <c r="O24" s="592"/>
      <c r="P24" s="254"/>
      <c r="Q24" s="588"/>
      <c r="R24" s="255" t="e">
        <f t="shared" si="4"/>
        <v>#DIV/0!</v>
      </c>
      <c r="S24" s="588"/>
      <c r="T24" s="588"/>
      <c r="U24" s="589"/>
      <c r="V24" s="588"/>
      <c r="W24" s="254"/>
      <c r="X24" s="254"/>
      <c r="Y24" s="254"/>
      <c r="Z24" s="254"/>
      <c r="AA24" s="257"/>
      <c r="AB24" s="257">
        <f t="shared" si="5"/>
        <v>0</v>
      </c>
      <c r="AC24" s="257"/>
      <c r="AD24" s="254"/>
      <c r="AE24" s="596"/>
      <c r="AF24" s="251"/>
      <c r="AG24" s="254"/>
    </row>
    <row r="25" spans="1:33" s="242" customFormat="1" ht="15.95" customHeight="1">
      <c r="A25" s="591"/>
      <c r="B25" s="254"/>
      <c r="C25" s="254"/>
      <c r="D25" s="256"/>
      <c r="E25" s="654"/>
      <c r="F25" s="254"/>
      <c r="G25" s="254"/>
      <c r="H25" s="254"/>
      <c r="I25" s="254"/>
      <c r="J25" s="254"/>
      <c r="K25" s="594"/>
      <c r="L25" s="254"/>
      <c r="M25" s="254"/>
      <c r="N25" s="254"/>
      <c r="O25" s="592"/>
      <c r="P25" s="254"/>
      <c r="Q25" s="588"/>
      <c r="R25" s="255" t="e">
        <f t="shared" si="4"/>
        <v>#DIV/0!</v>
      </c>
      <c r="S25" s="588"/>
      <c r="T25" s="588"/>
      <c r="U25" s="589"/>
      <c r="V25" s="588"/>
      <c r="W25" s="254"/>
      <c r="X25" s="254"/>
      <c r="Y25" s="254"/>
      <c r="Z25" s="254"/>
      <c r="AA25" s="257"/>
      <c r="AB25" s="257">
        <f t="shared" si="5"/>
        <v>0</v>
      </c>
      <c r="AC25" s="257"/>
      <c r="AD25" s="254"/>
      <c r="AE25" s="596"/>
      <c r="AF25" s="251"/>
      <c r="AG25" s="254"/>
    </row>
    <row r="26" spans="1:33" s="242" customFormat="1" ht="15.95" customHeight="1">
      <c r="A26" s="591"/>
      <c r="B26" s="254"/>
      <c r="C26" s="254"/>
      <c r="D26" s="256"/>
      <c r="E26" s="654"/>
      <c r="F26" s="254"/>
      <c r="G26" s="254"/>
      <c r="H26" s="254"/>
      <c r="I26" s="254"/>
      <c r="J26" s="254"/>
      <c r="K26" s="594"/>
      <c r="L26" s="254"/>
      <c r="M26" s="254"/>
      <c r="N26" s="254"/>
      <c r="O26" s="592"/>
      <c r="P26" s="254"/>
      <c r="Q26" s="588"/>
      <c r="R26" s="255" t="e">
        <f t="shared" si="4"/>
        <v>#DIV/0!</v>
      </c>
      <c r="S26" s="588"/>
      <c r="T26" s="588"/>
      <c r="U26" s="589"/>
      <c r="V26" s="588"/>
      <c r="W26" s="254"/>
      <c r="X26" s="254"/>
      <c r="Y26" s="254"/>
      <c r="Z26" s="254"/>
      <c r="AA26" s="257"/>
      <c r="AB26" s="257">
        <f t="shared" si="5"/>
        <v>0</v>
      </c>
      <c r="AC26" s="257"/>
      <c r="AD26" s="254"/>
      <c r="AE26" s="596"/>
      <c r="AF26" s="251"/>
      <c r="AG26" s="254"/>
    </row>
    <row r="27" spans="1:33" s="242" customFormat="1" ht="15.95" customHeight="1">
      <c r="A27" s="591"/>
      <c r="B27" s="254"/>
      <c r="C27" s="254"/>
      <c r="D27" s="256"/>
      <c r="E27" s="654"/>
      <c r="F27" s="254"/>
      <c r="G27" s="254"/>
      <c r="H27" s="254"/>
      <c r="I27" s="254"/>
      <c r="J27" s="254"/>
      <c r="K27" s="594"/>
      <c r="L27" s="254"/>
      <c r="M27" s="254"/>
      <c r="N27" s="254"/>
      <c r="O27" s="592"/>
      <c r="P27" s="254"/>
      <c r="Q27" s="588"/>
      <c r="R27" s="255" t="e">
        <f t="shared" si="4"/>
        <v>#DIV/0!</v>
      </c>
      <c r="S27" s="588"/>
      <c r="T27" s="588"/>
      <c r="U27" s="589"/>
      <c r="V27" s="588"/>
      <c r="W27" s="254"/>
      <c r="X27" s="254"/>
      <c r="Y27" s="254"/>
      <c r="Z27" s="254"/>
      <c r="AA27" s="257"/>
      <c r="AB27" s="257">
        <f t="shared" si="5"/>
        <v>0</v>
      </c>
      <c r="AC27" s="257"/>
      <c r="AD27" s="254"/>
      <c r="AE27" s="596"/>
      <c r="AF27" s="251"/>
      <c r="AG27" s="254"/>
    </row>
    <row r="28" spans="1:33" s="242" customFormat="1" ht="15.95" customHeight="1">
      <c r="A28" s="591"/>
      <c r="B28" s="254"/>
      <c r="C28" s="254"/>
      <c r="D28" s="256"/>
      <c r="E28" s="654"/>
      <c r="F28" s="254"/>
      <c r="G28" s="254"/>
      <c r="H28" s="254"/>
      <c r="I28" s="254"/>
      <c r="J28" s="254"/>
      <c r="K28" s="594"/>
      <c r="L28" s="254"/>
      <c r="M28" s="254"/>
      <c r="N28" s="254"/>
      <c r="O28" s="592"/>
      <c r="P28" s="254"/>
      <c r="Q28" s="588"/>
      <c r="R28" s="255" t="e">
        <f t="shared" si="4"/>
        <v>#DIV/0!</v>
      </c>
      <c r="S28" s="588"/>
      <c r="T28" s="588"/>
      <c r="U28" s="589"/>
      <c r="V28" s="588"/>
      <c r="W28" s="254"/>
      <c r="X28" s="254"/>
      <c r="Y28" s="254"/>
      <c r="Z28" s="254"/>
      <c r="AA28" s="257"/>
      <c r="AB28" s="257">
        <f t="shared" si="5"/>
        <v>0</v>
      </c>
      <c r="AC28" s="257"/>
      <c r="AD28" s="254"/>
      <c r="AE28" s="596"/>
      <c r="AF28" s="251"/>
      <c r="AG28" s="254"/>
    </row>
    <row r="29" spans="1:33" s="242" customFormat="1" ht="15.95" customHeight="1">
      <c r="A29" s="591"/>
      <c r="B29" s="254"/>
      <c r="C29" s="254"/>
      <c r="D29" s="256"/>
      <c r="E29" s="654"/>
      <c r="F29" s="254"/>
      <c r="G29" s="254"/>
      <c r="H29" s="254"/>
      <c r="I29" s="254"/>
      <c r="J29" s="254"/>
      <c r="K29" s="594"/>
      <c r="L29" s="254"/>
      <c r="M29" s="254"/>
      <c r="N29" s="254"/>
      <c r="O29" s="592"/>
      <c r="P29" s="254"/>
      <c r="Q29" s="588"/>
      <c r="R29" s="255" t="e">
        <f t="shared" si="4"/>
        <v>#DIV/0!</v>
      </c>
      <c r="S29" s="588"/>
      <c r="T29" s="588"/>
      <c r="U29" s="589"/>
      <c r="V29" s="588"/>
      <c r="W29" s="254"/>
      <c r="X29" s="254"/>
      <c r="Y29" s="254"/>
      <c r="Z29" s="254"/>
      <c r="AA29" s="257"/>
      <c r="AB29" s="257">
        <f t="shared" si="5"/>
        <v>0</v>
      </c>
      <c r="AC29" s="257"/>
      <c r="AD29" s="254"/>
      <c r="AE29" s="596"/>
      <c r="AF29" s="251"/>
      <c r="AG29" s="254"/>
    </row>
    <row r="30" spans="1:33" s="242" customFormat="1" ht="15.95" customHeight="1">
      <c r="A30" s="591"/>
      <c r="B30" s="254"/>
      <c r="C30" s="254"/>
      <c r="D30" s="256"/>
      <c r="E30" s="654"/>
      <c r="F30" s="254"/>
      <c r="G30" s="254"/>
      <c r="H30" s="254"/>
      <c r="I30" s="254"/>
      <c r="J30" s="254"/>
      <c r="K30" s="594"/>
      <c r="L30" s="254"/>
      <c r="M30" s="254"/>
      <c r="N30" s="254"/>
      <c r="O30" s="592"/>
      <c r="P30" s="254"/>
      <c r="Q30" s="588"/>
      <c r="R30" s="255" t="e">
        <f t="shared" si="4"/>
        <v>#DIV/0!</v>
      </c>
      <c r="S30" s="588"/>
      <c r="T30" s="588"/>
      <c r="U30" s="589"/>
      <c r="V30" s="588"/>
      <c r="W30" s="254"/>
      <c r="X30" s="254"/>
      <c r="Y30" s="254"/>
      <c r="Z30" s="254"/>
      <c r="AA30" s="257"/>
      <c r="AB30" s="257">
        <f t="shared" si="5"/>
        <v>0</v>
      </c>
      <c r="AC30" s="257"/>
      <c r="AD30" s="254"/>
      <c r="AE30" s="596"/>
      <c r="AF30" s="251"/>
      <c r="AG30" s="254"/>
    </row>
    <row r="31" spans="1:33" s="242" customFormat="1" ht="15.95" customHeight="1">
      <c r="A31" s="591"/>
      <c r="B31" s="254"/>
      <c r="C31" s="254"/>
      <c r="D31" s="256"/>
      <c r="E31" s="654"/>
      <c r="F31" s="254"/>
      <c r="G31" s="254"/>
      <c r="H31" s="254"/>
      <c r="I31" s="254"/>
      <c r="J31" s="254"/>
      <c r="K31" s="594"/>
      <c r="L31" s="254"/>
      <c r="M31" s="254"/>
      <c r="N31" s="254"/>
      <c r="O31" s="592"/>
      <c r="P31" s="254"/>
      <c r="Q31" s="588"/>
      <c r="R31" s="255" t="e">
        <f t="shared" si="4"/>
        <v>#DIV/0!</v>
      </c>
      <c r="S31" s="588"/>
      <c r="T31" s="588"/>
      <c r="U31" s="589"/>
      <c r="V31" s="588"/>
      <c r="W31" s="254"/>
      <c r="X31" s="254"/>
      <c r="Y31" s="254"/>
      <c r="Z31" s="254"/>
      <c r="AA31" s="257"/>
      <c r="AB31" s="257">
        <f t="shared" si="5"/>
        <v>0</v>
      </c>
      <c r="AC31" s="257"/>
      <c r="AD31" s="254"/>
      <c r="AE31" s="596"/>
      <c r="AF31" s="251"/>
      <c r="AG31" s="254"/>
    </row>
    <row r="32" spans="1:33" s="242" customFormat="1" ht="15.95" customHeight="1">
      <c r="A32" s="254"/>
      <c r="B32" s="254"/>
      <c r="C32" s="254"/>
      <c r="D32" s="256"/>
      <c r="E32" s="654"/>
      <c r="F32" s="254"/>
      <c r="G32" s="254"/>
      <c r="H32" s="254"/>
      <c r="I32" s="254"/>
      <c r="J32" s="254"/>
      <c r="K32" s="256"/>
      <c r="L32" s="254"/>
      <c r="M32" s="254"/>
      <c r="N32" s="254"/>
      <c r="O32" s="256"/>
      <c r="P32" s="254"/>
      <c r="Q32" s="588"/>
      <c r="R32" s="255" t="e">
        <f t="shared" si="4"/>
        <v>#DIV/0!</v>
      </c>
      <c r="S32" s="589"/>
      <c r="T32" s="589"/>
      <c r="U32" s="597"/>
      <c r="V32" s="589"/>
      <c r="W32" s="254"/>
      <c r="X32" s="254"/>
      <c r="Y32" s="254"/>
      <c r="Z32" s="254"/>
      <c r="AA32" s="257"/>
      <c r="AB32" s="257">
        <f t="shared" si="5"/>
        <v>0</v>
      </c>
      <c r="AC32" s="257"/>
      <c r="AD32" s="254"/>
      <c r="AE32" s="596"/>
      <c r="AF32" s="251"/>
      <c r="AG32" s="254"/>
    </row>
    <row r="33" spans="1:33" s="8" customFormat="1" ht="15.95" customHeight="1">
      <c r="A33" s="598"/>
      <c r="B33" s="599"/>
      <c r="C33" s="600"/>
      <c r="D33" s="163" t="s">
        <v>20</v>
      </c>
      <c r="E33" s="655"/>
      <c r="F33" s="600"/>
      <c r="G33" s="601">
        <f>SUM(G7:G32)</f>
        <v>0</v>
      </c>
      <c r="H33" s="601">
        <f>SUM(H7:H32)</f>
        <v>0</v>
      </c>
      <c r="I33" s="601">
        <f>SUM(I7:I32)</f>
        <v>0</v>
      </c>
      <c r="J33" s="601">
        <f>SUM(J7:J32)</f>
        <v>0</v>
      </c>
      <c r="K33" s="163"/>
      <c r="L33" s="164"/>
      <c r="M33" s="164"/>
      <c r="N33" s="164"/>
      <c r="O33" s="163"/>
      <c r="P33" s="164">
        <f>SUM(P7:P32)</f>
        <v>0</v>
      </c>
      <c r="Q33" s="602">
        <f>SUM(Q7:Q32)</f>
        <v>0</v>
      </c>
      <c r="R33" s="603"/>
      <c r="S33" s="604">
        <f>SUM(S7:S32)</f>
        <v>0</v>
      </c>
      <c r="T33" s="604"/>
      <c r="U33" s="605">
        <f>SUM(U7:U32)</f>
        <v>0</v>
      </c>
      <c r="V33" s="606">
        <f>SUM(V7:V32)</f>
        <v>0</v>
      </c>
      <c r="W33" s="601"/>
      <c r="X33" s="601"/>
      <c r="Y33" s="607"/>
      <c r="Z33" s="607"/>
      <c r="AA33" s="608">
        <f>SUM(AA7:AA32)</f>
        <v>0</v>
      </c>
      <c r="AB33" s="608">
        <f>SUM(AB7:AB32)</f>
        <v>0</v>
      </c>
      <c r="AC33" s="609">
        <f>SUM(AC7:AC32)</f>
        <v>0</v>
      </c>
      <c r="AD33" s="165"/>
      <c r="AE33" s="390"/>
      <c r="AF33" s="385"/>
      <c r="AG33" s="610"/>
    </row>
    <row r="34" spans="1:33" ht="15.95" customHeight="1">
      <c r="A34" s="36"/>
      <c r="B34" s="585"/>
      <c r="C34" s="127"/>
      <c r="D34" s="129"/>
      <c r="E34" s="129"/>
      <c r="F34" s="127"/>
      <c r="G34" s="401"/>
      <c r="H34" s="401"/>
      <c r="I34" s="127"/>
      <c r="J34" s="36"/>
      <c r="K34" s="129"/>
      <c r="L34" s="127"/>
      <c r="M34" s="128"/>
      <c r="N34" s="128"/>
      <c r="O34" s="129"/>
      <c r="P34" s="127" t="s">
        <v>21</v>
      </c>
      <c r="Q34" s="402"/>
      <c r="R34" s="363"/>
      <c r="S34" s="403"/>
      <c r="T34" s="403"/>
      <c r="U34" s="404"/>
      <c r="V34" s="405"/>
      <c r="W34" s="406"/>
      <c r="X34" s="406"/>
      <c r="Y34" s="404"/>
      <c r="Z34" s="404"/>
      <c r="AA34" s="352"/>
      <c r="AB34" s="352"/>
      <c r="AC34" s="611"/>
      <c r="AD34" s="136"/>
      <c r="AE34" s="36"/>
      <c r="AF34" s="36"/>
      <c r="AG34" s="36"/>
    </row>
    <row r="35" spans="1:33" ht="15.95" customHeight="1">
      <c r="A35" s="36"/>
      <c r="B35" s="585"/>
      <c r="C35" s="127"/>
      <c r="D35" s="129"/>
      <c r="E35" s="129"/>
      <c r="F35" s="127"/>
      <c r="G35" s="401"/>
      <c r="H35" s="401"/>
      <c r="I35" s="127"/>
      <c r="J35" s="36"/>
      <c r="K35" s="129"/>
      <c r="L35" s="127"/>
      <c r="M35" s="127"/>
      <c r="N35" s="127"/>
      <c r="O35" s="129"/>
      <c r="P35" s="127"/>
      <c r="Q35" s="402"/>
      <c r="R35" s="36"/>
      <c r="S35" s="403"/>
      <c r="T35" s="403"/>
      <c r="U35" s="401"/>
      <c r="V35" s="408"/>
      <c r="W35" s="401"/>
      <c r="X35" s="401"/>
      <c r="Y35" s="401"/>
      <c r="Z35" s="401"/>
      <c r="AA35" s="359"/>
      <c r="AB35" s="352" t="s">
        <v>22</v>
      </c>
      <c r="AC35" s="612"/>
      <c r="AD35" s="128"/>
      <c r="AE35" s="36"/>
      <c r="AF35" s="36"/>
      <c r="AG35" s="36"/>
    </row>
    <row r="36" spans="1:33" ht="15.95" customHeight="1">
      <c r="A36" s="36"/>
      <c r="B36" s="585"/>
      <c r="C36" s="127"/>
      <c r="D36" s="129"/>
      <c r="E36" s="129"/>
      <c r="F36" s="127"/>
      <c r="G36" s="401"/>
      <c r="H36" s="401"/>
      <c r="I36" s="127"/>
      <c r="J36" s="36"/>
      <c r="K36" s="129"/>
      <c r="L36" s="127"/>
      <c r="M36" s="127"/>
      <c r="N36" s="127"/>
      <c r="O36" s="129"/>
      <c r="P36" s="127"/>
      <c r="Q36" s="402"/>
      <c r="R36" s="36"/>
      <c r="S36" s="403"/>
      <c r="T36" s="403"/>
      <c r="U36" s="401"/>
      <c r="V36" s="408"/>
      <c r="W36" s="401"/>
      <c r="X36" s="401"/>
      <c r="Y36" s="401"/>
      <c r="Z36" s="401"/>
      <c r="AA36" s="359"/>
      <c r="AB36" s="352" t="s">
        <v>23</v>
      </c>
      <c r="AC36" s="612">
        <f>SMI!AB44</f>
        <v>211891891.89189187</v>
      </c>
      <c r="AD36" s="128"/>
      <c r="AE36" s="354"/>
      <c r="AF36" s="36"/>
      <c r="AG36" s="36"/>
    </row>
    <row r="37" spans="1:33" ht="15.95" customHeight="1">
      <c r="A37" s="36"/>
      <c r="B37" s="585"/>
      <c r="C37" s="127"/>
      <c r="D37" s="129"/>
      <c r="E37" s="129"/>
      <c r="F37" s="127"/>
      <c r="G37" s="401"/>
      <c r="H37" s="401"/>
      <c r="I37" s="127"/>
      <c r="J37" s="36"/>
      <c r="K37" s="129"/>
      <c r="L37" s="127"/>
      <c r="M37" s="127"/>
      <c r="N37" s="127"/>
      <c r="O37" s="129"/>
      <c r="P37" s="127"/>
      <c r="Q37" s="402"/>
      <c r="R37" s="36"/>
      <c r="S37" s="403"/>
      <c r="T37" s="403"/>
      <c r="U37" s="401"/>
      <c r="V37" s="408"/>
      <c r="W37" s="401"/>
      <c r="X37" s="401"/>
      <c r="Y37" s="401"/>
      <c r="Z37" s="401"/>
      <c r="AA37" s="359"/>
      <c r="AB37" s="352" t="s">
        <v>24</v>
      </c>
      <c r="AC37" s="612">
        <f>AC35+AC36</f>
        <v>211891891.89189187</v>
      </c>
      <c r="AD37" s="128"/>
      <c r="AE37" s="354"/>
      <c r="AF37" s="36"/>
      <c r="AG37" s="36"/>
    </row>
    <row r="38" spans="1:33" ht="15.95" customHeight="1">
      <c r="C38" s="130"/>
      <c r="D38" s="126"/>
      <c r="E38" s="126"/>
      <c r="F38" s="130"/>
      <c r="G38" s="108"/>
      <c r="H38" s="108"/>
      <c r="I38" s="130"/>
      <c r="K38" s="129"/>
      <c r="L38" s="127"/>
      <c r="M38" s="127"/>
      <c r="N38" s="127"/>
      <c r="O38" s="129"/>
      <c r="P38" s="130"/>
      <c r="Q38" s="131"/>
      <c r="S38" s="132"/>
      <c r="T38" s="132"/>
      <c r="U38" s="108"/>
      <c r="V38" s="137"/>
      <c r="W38" s="108"/>
      <c r="X38" s="108"/>
      <c r="Y38" s="108"/>
      <c r="Z38" s="108"/>
      <c r="AD38" s="128"/>
      <c r="AE38" s="4"/>
    </row>
    <row r="39" spans="1:33" ht="15.95" customHeight="1">
      <c r="C39" s="130"/>
      <c r="D39" s="126"/>
      <c r="E39" s="126"/>
      <c r="F39" s="130"/>
      <c r="G39" s="108"/>
      <c r="H39" s="108"/>
      <c r="I39" s="130"/>
      <c r="K39" s="129"/>
      <c r="L39" s="127"/>
      <c r="M39" s="127"/>
      <c r="N39" s="127"/>
      <c r="O39" s="129"/>
      <c r="P39" s="130"/>
      <c r="Q39" s="131"/>
      <c r="S39" s="132"/>
      <c r="T39" s="132"/>
      <c r="U39" s="108"/>
      <c r="V39" s="137"/>
      <c r="W39" s="108"/>
      <c r="X39" s="108"/>
      <c r="Y39" s="108"/>
      <c r="Z39" s="108"/>
      <c r="AB39" s="138" t="s">
        <v>25</v>
      </c>
      <c r="AC39" s="139"/>
      <c r="AD39" s="128"/>
      <c r="AE39" s="4"/>
    </row>
    <row r="40" spans="1:33" ht="15.95" customHeight="1">
      <c r="C40" s="130"/>
      <c r="D40" s="126"/>
      <c r="E40" s="126"/>
      <c r="F40" s="130"/>
      <c r="G40" s="108"/>
      <c r="H40" s="108"/>
      <c r="I40" s="130"/>
      <c r="K40" s="129"/>
      <c r="L40" s="127"/>
      <c r="M40" s="127"/>
      <c r="N40" s="127"/>
      <c r="O40" s="129"/>
      <c r="P40" s="130"/>
      <c r="Q40" s="131"/>
      <c r="S40" s="132"/>
      <c r="T40" s="132"/>
      <c r="U40" s="108"/>
      <c r="V40" s="137"/>
      <c r="W40" s="108"/>
      <c r="X40" s="108"/>
      <c r="Y40" s="108"/>
      <c r="Z40" s="108"/>
      <c r="AC40" s="135"/>
      <c r="AD40" s="128"/>
      <c r="AE40" s="4"/>
    </row>
    <row r="41" spans="1:33" ht="15.95" customHeight="1">
      <c r="C41" s="130"/>
      <c r="D41" s="126"/>
      <c r="E41" s="126"/>
      <c r="F41" s="130"/>
      <c r="G41" s="108"/>
      <c r="H41" s="108"/>
      <c r="I41" s="130"/>
      <c r="K41" s="129"/>
      <c r="L41" s="127"/>
      <c r="M41" s="127"/>
      <c r="N41" s="127"/>
      <c r="O41" s="129"/>
      <c r="P41" s="130"/>
      <c r="Q41" s="131"/>
      <c r="S41" s="132"/>
      <c r="T41" s="132"/>
      <c r="U41" s="108"/>
      <c r="V41" s="137"/>
      <c r="W41" s="108"/>
      <c r="X41" s="108"/>
      <c r="Y41" s="108"/>
      <c r="Z41" s="108"/>
      <c r="AC41" s="135" t="s">
        <v>16</v>
      </c>
      <c r="AD41" s="128"/>
      <c r="AE41" s="4"/>
    </row>
    <row r="42" spans="1:33" ht="15.95" customHeight="1">
      <c r="C42" s="130"/>
      <c r="D42" s="140"/>
      <c r="E42" s="140"/>
      <c r="F42" s="130"/>
      <c r="G42" s="170"/>
      <c r="H42" s="107"/>
      <c r="I42" s="130"/>
      <c r="K42" s="141"/>
      <c r="L42" s="107"/>
      <c r="M42" s="141"/>
      <c r="N42" s="141"/>
      <c r="O42" s="141"/>
      <c r="P42" s="142"/>
      <c r="Q42" s="131"/>
      <c r="S42" s="132"/>
      <c r="T42" s="132"/>
      <c r="U42" s="108"/>
      <c r="V42" s="137"/>
      <c r="W42" s="108"/>
      <c r="X42" s="108"/>
      <c r="Y42" s="108"/>
      <c r="Z42" s="108"/>
      <c r="AB42" s="143"/>
      <c r="AC42" s="144">
        <f>AC37/AC48*100%</f>
        <v>1.5695695695695695E-2</v>
      </c>
      <c r="AD42" s="128"/>
      <c r="AE42" s="4"/>
    </row>
    <row r="43" spans="1:33" ht="15.95" customHeight="1">
      <c r="AE43" s="4"/>
    </row>
    <row r="44" spans="1:33" ht="15.95" customHeight="1">
      <c r="AE44" s="4"/>
    </row>
    <row r="45" spans="1:33" ht="15.95" customHeight="1">
      <c r="AE45" s="4"/>
    </row>
    <row r="46" spans="1:33" ht="15.95" customHeight="1">
      <c r="C46" s="140"/>
      <c r="D46" s="140"/>
      <c r="E46" s="140"/>
      <c r="F46" s="140"/>
      <c r="G46" s="170"/>
      <c r="H46" s="107"/>
      <c r="I46" s="140"/>
      <c r="K46" s="141"/>
      <c r="L46" s="107"/>
      <c r="M46" s="141"/>
      <c r="N46" s="141"/>
      <c r="O46" s="141"/>
      <c r="P46" s="142"/>
      <c r="Q46" s="107"/>
      <c r="R46" s="147"/>
      <c r="S46" s="47"/>
      <c r="T46" s="47"/>
      <c r="U46" s="147"/>
      <c r="V46" s="148"/>
      <c r="W46" s="147"/>
      <c r="X46" s="140"/>
      <c r="Y46" s="140"/>
      <c r="Z46" s="107"/>
      <c r="AA46" s="107"/>
      <c r="AB46" s="149" t="s">
        <v>26</v>
      </c>
      <c r="AC46" s="150">
        <f>DS!AD322</f>
        <v>13500000000</v>
      </c>
      <c r="AD46" s="151"/>
      <c r="AE46" s="4"/>
    </row>
    <row r="47" spans="1:33" ht="15.95" customHeight="1">
      <c r="C47" s="140"/>
      <c r="D47" s="152"/>
      <c r="E47" s="152"/>
      <c r="F47" s="140"/>
      <c r="G47" s="171"/>
      <c r="H47" s="107"/>
      <c r="I47" s="140"/>
      <c r="K47" s="141"/>
      <c r="L47" s="107"/>
      <c r="M47" s="141"/>
      <c r="N47" s="141"/>
      <c r="O47" s="141"/>
      <c r="P47" s="142"/>
      <c r="Q47" s="107"/>
      <c r="R47" s="147"/>
      <c r="S47" s="47"/>
      <c r="T47" s="47"/>
      <c r="U47" s="147"/>
      <c r="V47" s="148"/>
      <c r="W47" s="147"/>
      <c r="X47" s="140"/>
      <c r="Y47" s="140"/>
      <c r="Z47" s="107"/>
      <c r="AA47" s="107"/>
      <c r="AB47" s="149" t="s">
        <v>27</v>
      </c>
      <c r="AC47" s="150">
        <v>0</v>
      </c>
      <c r="AD47" s="151"/>
      <c r="AE47" s="4"/>
    </row>
    <row r="48" spans="1:33" ht="15.95" customHeight="1">
      <c r="AB48" s="149" t="s">
        <v>28</v>
      </c>
      <c r="AC48" s="150">
        <f>AC46</f>
        <v>13500000000</v>
      </c>
      <c r="AE48" s="4"/>
    </row>
    <row r="49" spans="31:31" ht="15.95" customHeight="1">
      <c r="AE49" s="4"/>
    </row>
    <row r="65389" ht="12.75" customHeight="1"/>
    <row r="65390" ht="12.75" customHeight="1"/>
    <row r="65391" ht="12.75" customHeight="1"/>
    <row r="65392" ht="12.75" customHeight="1"/>
    <row r="65393" ht="12.75" customHeight="1"/>
    <row r="65394" ht="12.75" customHeight="1"/>
    <row r="65395" ht="12.75" customHeight="1"/>
    <row r="65396" ht="12.75" customHeight="1"/>
    <row r="65397" ht="12.75" customHeight="1"/>
    <row r="65398" ht="12.75" customHeight="1"/>
    <row r="65399" ht="12.75" customHeight="1"/>
    <row r="65400" ht="12.75" customHeight="1"/>
    <row r="65401" ht="12.75" customHeight="1"/>
    <row r="65402" ht="12.75" customHeight="1"/>
    <row r="65403" ht="12.75" customHeight="1"/>
    <row r="65404" ht="12.75" customHeight="1"/>
    <row r="65405" ht="12.75" customHeight="1"/>
    <row r="65501" spans="13:13" ht="15.95" customHeight="1">
      <c r="M65501" s="153"/>
    </row>
  </sheetData>
  <sheetProtection selectLockedCells="1" selectUnlockedCells="1"/>
  <mergeCells count="26">
    <mergeCell ref="Q5:Q6"/>
    <mergeCell ref="R5:R6"/>
    <mergeCell ref="S5:S6"/>
    <mergeCell ref="T5:AA5"/>
    <mergeCell ref="AG5:AG6"/>
    <mergeCell ref="AF5:AF6"/>
    <mergeCell ref="AC5:AC6"/>
    <mergeCell ref="AD5:AD6"/>
    <mergeCell ref="AE5:AE6"/>
    <mergeCell ref="AB5:AB6"/>
    <mergeCell ref="A5:A6"/>
    <mergeCell ref="B5:B6"/>
    <mergeCell ref="C5:C6"/>
    <mergeCell ref="D5:D6"/>
    <mergeCell ref="F5:F6"/>
    <mergeCell ref="E5:E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</mergeCells>
  <printOptions horizontalCentered="1"/>
  <pageMargins left="0" right="0" top="0" bottom="0" header="0" footer="0"/>
  <pageSetup scale="31" firstPageNumber="0" orientation="landscape" useFirstPageNumber="1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Data!$D$1:$D$7</xm:f>
          </x14:formula1>
          <xm:sqref>K7:K32 L8</xm:sqref>
        </x14:dataValidation>
        <x14:dataValidation type="list" allowBlank="1" showInputMessage="1" showErrorMessage="1">
          <x14:formula1>
            <xm:f>'Sales Support'!$A$2:$A$107</xm:f>
          </x14:formula1>
          <xm:sqref>AE8:AE32</xm:sqref>
        </x14:dataValidation>
        <x14:dataValidation type="list" allowBlank="1" showInputMessage="1" showErrorMessage="1">
          <x14:formula1>
            <xm:f>'Sales Support'!$F$2:$F$4</xm:f>
          </x14:formula1>
          <xm:sqref>AF1:AF1048576</xm:sqref>
        </x14:dataValidation>
        <x14:dataValidation type="list" allowBlank="1" showInputMessage="1" showErrorMessage="1">
          <x14:formula1>
            <xm:f>Data!$A:$A</xm:f>
          </x14:formula1>
          <xm:sqref>F1:F1048576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65490"/>
  <sheetViews>
    <sheetView zoomScale="70" zoomScaleNormal="70" zoomScaleSheetLayoutView="10" workbookViewId="0">
      <pane xSplit="4" ySplit="6" topLeftCell="AC7" activePane="bottomRight" state="frozen"/>
      <selection pane="topRight" activeCell="E1" sqref="E1"/>
      <selection pane="bottomLeft" activeCell="A7" sqref="A7"/>
      <selection pane="bottomRight" activeCell="AE45" sqref="AE45"/>
    </sheetView>
  </sheetViews>
  <sheetFormatPr defaultColWidth="8.5" defaultRowHeight="15.95" customHeight="1"/>
  <cols>
    <col min="1" max="1" width="18.125" style="36" customWidth="1"/>
    <col min="2" max="2" width="18.25" style="585" customWidth="1"/>
    <col min="3" max="3" width="35.5" style="585" customWidth="1"/>
    <col min="4" max="5" width="21.25" style="102" customWidth="1"/>
    <col min="6" max="6" width="15.25" style="585" customWidth="1"/>
    <col min="7" max="8" width="6.75" style="36" customWidth="1"/>
    <col min="9" max="9" width="6.75" style="585" customWidth="1"/>
    <col min="10" max="10" width="6.75" style="36" customWidth="1"/>
    <col min="11" max="11" width="32.75" style="102" customWidth="1"/>
    <col min="12" max="12" width="12.75" style="585" customWidth="1"/>
    <col min="13" max="13" width="21.125" style="585" customWidth="1"/>
    <col min="14" max="14" width="10.375" style="585" bestFit="1" customWidth="1"/>
    <col min="15" max="15" width="90.25" style="102" customWidth="1"/>
    <col min="16" max="16" width="4.25" style="585" customWidth="1"/>
    <col min="17" max="17" width="17.75" style="355" customWidth="1"/>
    <col min="18" max="18" width="8.75" style="36" customWidth="1"/>
    <col min="19" max="19" width="16.75" style="356" customWidth="1"/>
    <col min="20" max="20" width="19.125" style="356" customWidth="1"/>
    <col min="21" max="21" width="15" style="36" customWidth="1"/>
    <col min="22" max="22" width="14.5" style="364" customWidth="1"/>
    <col min="23" max="23" width="14.5" style="585" customWidth="1"/>
    <col min="24" max="24" width="16.5" style="355" customWidth="1"/>
    <col min="25" max="25" width="20.25" style="36" customWidth="1"/>
    <col min="26" max="26" width="12.75" style="36" customWidth="1"/>
    <col min="27" max="27" width="17.875" style="36" customWidth="1"/>
    <col min="28" max="28" width="19.5" style="359" customWidth="1"/>
    <col min="29" max="29" width="21.75" style="359" customWidth="1"/>
    <col min="30" max="30" width="24.75" style="352" customWidth="1"/>
    <col min="31" max="31" width="13.5" style="353" customWidth="1"/>
    <col min="32" max="32" width="15.375" style="582" customWidth="1"/>
    <col min="33" max="33" width="14.25" style="351" bestFit="1" customWidth="1"/>
    <col min="34" max="35" width="30.5" style="36" customWidth="1"/>
    <col min="36" max="36" width="19" style="625" bestFit="1" customWidth="1"/>
    <col min="37" max="37" width="55.625" style="36" customWidth="1"/>
    <col min="38" max="256" width="8.5" style="354" customWidth="1"/>
    <col min="257" max="16384" width="8.5" style="354"/>
  </cols>
  <sheetData>
    <row r="1" spans="1:37" ht="15">
      <c r="A1" s="347" t="str">
        <f>DS!A1</f>
        <v>BVLGARI – Plaza Indonesia</v>
      </c>
      <c r="B1" s="37"/>
      <c r="C1" s="348"/>
      <c r="D1" s="73"/>
      <c r="E1" s="73"/>
      <c r="F1" s="348"/>
      <c r="G1" s="351"/>
      <c r="H1" s="351"/>
      <c r="K1" s="73"/>
      <c r="L1" s="37"/>
      <c r="M1" s="72"/>
      <c r="N1" s="72"/>
      <c r="O1" s="73"/>
      <c r="P1" s="37"/>
      <c r="Q1" s="347"/>
      <c r="R1" s="349"/>
      <c r="S1" s="350"/>
      <c r="T1" s="350"/>
      <c r="U1" s="347"/>
      <c r="V1" s="350"/>
      <c r="W1" s="37"/>
      <c r="X1" s="370"/>
      <c r="Y1" s="351"/>
      <c r="Z1" s="347"/>
      <c r="AA1" s="347"/>
      <c r="AB1" s="352"/>
      <c r="AC1" s="352"/>
      <c r="AF1" s="37"/>
      <c r="AG1" s="347"/>
      <c r="AJ1" s="613"/>
    </row>
    <row r="2" spans="1:37" ht="19.350000000000001" customHeight="1">
      <c r="A2" s="347" t="s">
        <v>633</v>
      </c>
      <c r="B2" s="37"/>
      <c r="D2" s="73"/>
      <c r="E2" s="73"/>
      <c r="K2" s="82"/>
      <c r="L2" s="79"/>
      <c r="M2" s="80"/>
      <c r="N2" s="81"/>
      <c r="O2" s="82"/>
      <c r="U2" s="357"/>
      <c r="V2" s="358"/>
      <c r="W2" s="298"/>
      <c r="Z2" s="357"/>
      <c r="AA2" s="357"/>
      <c r="AF2" s="88"/>
      <c r="AG2" s="360"/>
      <c r="AJ2" s="613"/>
    </row>
    <row r="3" spans="1:37" ht="19.350000000000001" customHeight="1">
      <c r="A3" s="584" t="s">
        <v>611</v>
      </c>
      <c r="B3" s="361">
        <f>DS!B3</f>
        <v>46266</v>
      </c>
      <c r="C3" s="614" t="s">
        <v>758</v>
      </c>
      <c r="D3" s="424"/>
      <c r="E3" s="424"/>
      <c r="F3" s="47"/>
      <c r="K3" s="583"/>
      <c r="L3" s="582"/>
      <c r="M3" s="92"/>
      <c r="N3" s="93"/>
      <c r="O3" s="583"/>
      <c r="R3" s="363"/>
      <c r="U3" s="357"/>
      <c r="V3" s="358"/>
      <c r="W3" s="298"/>
      <c r="Z3" s="364"/>
      <c r="AA3" s="364"/>
      <c r="AB3" s="365"/>
      <c r="AC3" s="365"/>
      <c r="AD3" s="366"/>
      <c r="AE3" s="367"/>
      <c r="AG3" s="368"/>
      <c r="AJ3" s="613"/>
    </row>
    <row r="4" spans="1:37" ht="17.100000000000001" customHeight="1">
      <c r="A4" s="349"/>
      <c r="B4" s="348"/>
      <c r="C4" s="369"/>
      <c r="D4" s="583"/>
      <c r="E4" s="638"/>
      <c r="F4" s="369"/>
      <c r="L4" s="582"/>
      <c r="M4" s="101"/>
      <c r="N4" s="101"/>
      <c r="Q4" s="370"/>
      <c r="R4" s="363"/>
      <c r="S4" s="371"/>
      <c r="T4" s="371"/>
      <c r="U4" s="360"/>
      <c r="V4" s="372"/>
      <c r="W4" s="88"/>
      <c r="X4" s="370"/>
      <c r="Y4" s="351"/>
      <c r="Z4" s="364"/>
      <c r="AA4" s="364"/>
      <c r="AB4" s="365"/>
      <c r="AC4" s="365"/>
      <c r="AD4" s="366"/>
      <c r="AE4" s="367"/>
      <c r="AG4" s="368"/>
      <c r="AJ4" s="613"/>
    </row>
    <row r="5" spans="1:37" ht="17.100000000000001" customHeight="1">
      <c r="A5" s="921" t="s">
        <v>1</v>
      </c>
      <c r="B5" s="947" t="s">
        <v>2</v>
      </c>
      <c r="C5" s="935" t="s">
        <v>779</v>
      </c>
      <c r="D5" s="923" t="s">
        <v>3</v>
      </c>
      <c r="E5" s="944" t="s">
        <v>794</v>
      </c>
      <c r="F5" s="935" t="s">
        <v>17</v>
      </c>
      <c r="G5" s="935" t="s">
        <v>4</v>
      </c>
      <c r="H5" s="935" t="s">
        <v>5</v>
      </c>
      <c r="I5" s="935" t="s">
        <v>621</v>
      </c>
      <c r="J5" s="935" t="s">
        <v>622</v>
      </c>
      <c r="K5" s="935" t="s">
        <v>614</v>
      </c>
      <c r="L5" s="925" t="s">
        <v>6</v>
      </c>
      <c r="M5" s="921" t="s">
        <v>613</v>
      </c>
      <c r="N5" s="921" t="s">
        <v>612</v>
      </c>
      <c r="O5" s="923" t="s">
        <v>7</v>
      </c>
      <c r="P5" s="925" t="s">
        <v>8</v>
      </c>
      <c r="Q5" s="927" t="s">
        <v>9</v>
      </c>
      <c r="R5" s="945" t="s">
        <v>10</v>
      </c>
      <c r="S5" s="967" t="s">
        <v>11</v>
      </c>
      <c r="T5" s="934" t="s">
        <v>12</v>
      </c>
      <c r="U5" s="934"/>
      <c r="V5" s="934"/>
      <c r="W5" s="949"/>
      <c r="X5" s="934"/>
      <c r="Y5" s="934"/>
      <c r="Z5" s="934"/>
      <c r="AA5" s="934"/>
      <c r="AB5" s="934"/>
      <c r="AC5" s="919" t="s">
        <v>44</v>
      </c>
      <c r="AD5" s="917" t="s">
        <v>617</v>
      </c>
      <c r="AE5" s="938" t="s">
        <v>618</v>
      </c>
      <c r="AF5" s="935" t="s">
        <v>610</v>
      </c>
      <c r="AG5" s="940" t="s">
        <v>619</v>
      </c>
      <c r="AH5" s="935" t="s">
        <v>627</v>
      </c>
      <c r="AI5" s="937" t="s">
        <v>752</v>
      </c>
      <c r="AJ5" s="927" t="s">
        <v>757</v>
      </c>
      <c r="AK5" s="935" t="s">
        <v>623</v>
      </c>
    </row>
    <row r="6" spans="1:37" ht="17.100000000000001" customHeight="1">
      <c r="A6" s="922"/>
      <c r="B6" s="948"/>
      <c r="C6" s="936"/>
      <c r="D6" s="924"/>
      <c r="E6" s="944"/>
      <c r="F6" s="936"/>
      <c r="G6" s="936"/>
      <c r="H6" s="936"/>
      <c r="I6" s="936"/>
      <c r="J6" s="936"/>
      <c r="K6" s="936"/>
      <c r="L6" s="926"/>
      <c r="M6" s="922"/>
      <c r="N6" s="922"/>
      <c r="O6" s="924"/>
      <c r="P6" s="926"/>
      <c r="Q6" s="928"/>
      <c r="R6" s="946"/>
      <c r="S6" s="968"/>
      <c r="T6" s="166" t="s">
        <v>624</v>
      </c>
      <c r="U6" s="157" t="s">
        <v>18</v>
      </c>
      <c r="V6" s="156" t="s">
        <v>19</v>
      </c>
      <c r="W6" s="156" t="s">
        <v>634</v>
      </c>
      <c r="X6" s="265" t="s">
        <v>760</v>
      </c>
      <c r="Y6" s="158" t="s">
        <v>615</v>
      </c>
      <c r="Z6" s="158" t="s">
        <v>14</v>
      </c>
      <c r="AA6" s="158" t="s">
        <v>616</v>
      </c>
      <c r="AB6" s="159" t="s">
        <v>15</v>
      </c>
      <c r="AC6" s="920"/>
      <c r="AD6" s="918"/>
      <c r="AE6" s="939"/>
      <c r="AF6" s="936"/>
      <c r="AG6" s="941"/>
      <c r="AH6" s="936"/>
      <c r="AI6" s="936"/>
      <c r="AJ6" s="928"/>
      <c r="AK6" s="936"/>
    </row>
    <row r="7" spans="1:37" s="258" customFormat="1" ht="15.95" customHeight="1">
      <c r="A7" s="718"/>
      <c r="B7" s="254"/>
      <c r="C7" s="254"/>
      <c r="D7" s="256"/>
      <c r="E7" s="701"/>
      <c r="F7" s="254"/>
      <c r="G7" s="254"/>
      <c r="H7" s="254"/>
      <c r="I7" s="254"/>
      <c r="J7" s="254"/>
      <c r="K7" s="594"/>
      <c r="L7" s="254"/>
      <c r="M7" s="254"/>
      <c r="N7" s="254"/>
      <c r="O7" s="592"/>
      <c r="P7" s="254"/>
      <c r="Q7" s="588"/>
      <c r="R7" s="255" t="e">
        <f t="shared" ref="R7:R21" si="0">(Q7-S7)/Q7*100</f>
        <v>#DIV/0!</v>
      </c>
      <c r="S7" s="588"/>
      <c r="T7" s="588"/>
      <c r="U7" s="589"/>
      <c r="V7" s="588"/>
      <c r="W7" s="629"/>
      <c r="X7" s="615"/>
      <c r="Y7" s="254"/>
      <c r="Z7" s="254"/>
      <c r="AA7" s="254"/>
      <c r="AB7" s="247">
        <f t="shared" ref="AB7:AB21" si="1">V7*1.5%</f>
        <v>0</v>
      </c>
      <c r="AC7" s="257">
        <f t="shared" ref="AC7:AC21" si="2">(S7/1.11)</f>
        <v>0</v>
      </c>
      <c r="AD7" s="268"/>
      <c r="AE7" s="257"/>
      <c r="AF7" s="254"/>
      <c r="AG7" s="254"/>
      <c r="AH7" s="596"/>
      <c r="AI7" s="596"/>
      <c r="AJ7" s="615"/>
      <c r="AK7" s="676"/>
    </row>
    <row r="8" spans="1:37" s="258" customFormat="1" ht="15.95" customHeight="1">
      <c r="A8" s="591"/>
      <c r="B8" s="254"/>
      <c r="C8" s="254"/>
      <c r="D8" s="256"/>
      <c r="E8" s="654"/>
      <c r="F8" s="254"/>
      <c r="G8" s="254"/>
      <c r="H8" s="254"/>
      <c r="I8" s="254"/>
      <c r="J8" s="254"/>
      <c r="K8" s="594"/>
      <c r="L8" s="254"/>
      <c r="M8" s="254"/>
      <c r="N8" s="254"/>
      <c r="O8" s="592"/>
      <c r="P8" s="254"/>
      <c r="Q8" s="588"/>
      <c r="R8" s="255" t="e">
        <f t="shared" si="0"/>
        <v>#DIV/0!</v>
      </c>
      <c r="S8" s="588"/>
      <c r="T8" s="588"/>
      <c r="U8" s="589"/>
      <c r="V8" s="588"/>
      <c r="W8" s="629"/>
      <c r="X8" s="615"/>
      <c r="Y8" s="254"/>
      <c r="Z8" s="254"/>
      <c r="AA8" s="254"/>
      <c r="AB8" s="247">
        <f t="shared" si="1"/>
        <v>0</v>
      </c>
      <c r="AC8" s="257">
        <f t="shared" si="2"/>
        <v>0</v>
      </c>
      <c r="AD8" s="257"/>
      <c r="AE8" s="257"/>
      <c r="AF8" s="254"/>
      <c r="AG8" s="254"/>
      <c r="AH8" s="596"/>
      <c r="AI8" s="251"/>
      <c r="AJ8" s="615"/>
      <c r="AK8" s="254"/>
    </row>
    <row r="9" spans="1:37" s="258" customFormat="1" ht="15.95" customHeight="1">
      <c r="A9" s="591"/>
      <c r="B9" s="254"/>
      <c r="C9" s="254"/>
      <c r="D9" s="256"/>
      <c r="E9" s="654"/>
      <c r="F9" s="254"/>
      <c r="G9" s="254"/>
      <c r="H9" s="254"/>
      <c r="I9" s="254"/>
      <c r="J9" s="254"/>
      <c r="K9" s="594"/>
      <c r="L9" s="254"/>
      <c r="M9" s="254"/>
      <c r="N9" s="254"/>
      <c r="O9" s="592"/>
      <c r="P9" s="254"/>
      <c r="Q9" s="588"/>
      <c r="R9" s="255" t="e">
        <f t="shared" si="0"/>
        <v>#DIV/0!</v>
      </c>
      <c r="S9" s="588"/>
      <c r="T9" s="588"/>
      <c r="U9" s="589"/>
      <c r="V9" s="588"/>
      <c r="W9" s="629"/>
      <c r="X9" s="615"/>
      <c r="Y9" s="254"/>
      <c r="Z9" s="254"/>
      <c r="AA9" s="254"/>
      <c r="AB9" s="247">
        <f t="shared" si="1"/>
        <v>0</v>
      </c>
      <c r="AC9" s="257">
        <f t="shared" si="2"/>
        <v>0</v>
      </c>
      <c r="AD9" s="257"/>
      <c r="AE9" s="257"/>
      <c r="AF9" s="254"/>
      <c r="AG9" s="254"/>
      <c r="AH9" s="596"/>
      <c r="AI9" s="251"/>
      <c r="AJ9" s="615"/>
      <c r="AK9" s="254"/>
    </row>
    <row r="10" spans="1:37" s="258" customFormat="1" ht="15.95" customHeight="1">
      <c r="A10" s="591"/>
      <c r="B10" s="254"/>
      <c r="C10" s="254"/>
      <c r="D10" s="256"/>
      <c r="E10" s="701"/>
      <c r="F10" s="254"/>
      <c r="G10" s="254"/>
      <c r="H10" s="254"/>
      <c r="I10" s="254"/>
      <c r="J10" s="254"/>
      <c r="K10" s="594"/>
      <c r="L10" s="254"/>
      <c r="M10" s="254"/>
      <c r="N10" s="254"/>
      <c r="O10" s="592"/>
      <c r="P10" s="254"/>
      <c r="Q10" s="588"/>
      <c r="R10" s="255" t="e">
        <f t="shared" si="0"/>
        <v>#DIV/0!</v>
      </c>
      <c r="S10" s="588"/>
      <c r="T10" s="588"/>
      <c r="U10" s="589"/>
      <c r="V10" s="588"/>
      <c r="W10" s="629"/>
      <c r="X10" s="615"/>
      <c r="Y10" s="254"/>
      <c r="Z10" s="254"/>
      <c r="AA10" s="254"/>
      <c r="AB10" s="247">
        <f>V10*1.3%</f>
        <v>0</v>
      </c>
      <c r="AC10" s="257">
        <f t="shared" si="2"/>
        <v>0</v>
      </c>
      <c r="AD10" s="257"/>
      <c r="AE10" s="257"/>
      <c r="AF10" s="254"/>
      <c r="AG10" s="254"/>
      <c r="AH10" s="596"/>
      <c r="AI10" s="251"/>
      <c r="AJ10" s="615"/>
      <c r="AK10" s="676"/>
    </row>
    <row r="11" spans="1:37" s="258" customFormat="1" ht="15.95" customHeight="1">
      <c r="A11" s="591"/>
      <c r="B11" s="254"/>
      <c r="C11" s="254"/>
      <c r="D11" s="256"/>
      <c r="E11" s="654"/>
      <c r="F11" s="254"/>
      <c r="G11" s="254"/>
      <c r="H11" s="254"/>
      <c r="I11" s="254"/>
      <c r="J11" s="254"/>
      <c r="K11" s="594"/>
      <c r="L11" s="254"/>
      <c r="M11" s="254"/>
      <c r="N11" s="254"/>
      <c r="O11" s="592"/>
      <c r="P11" s="254"/>
      <c r="Q11" s="588"/>
      <c r="R11" s="255" t="e">
        <f t="shared" si="0"/>
        <v>#DIV/0!</v>
      </c>
      <c r="S11" s="588"/>
      <c r="T11" s="588"/>
      <c r="U11" s="589"/>
      <c r="V11" s="588"/>
      <c r="W11" s="629"/>
      <c r="X11" s="615"/>
      <c r="Y11" s="254"/>
      <c r="Z11" s="254"/>
      <c r="AA11" s="254"/>
      <c r="AB11" s="247">
        <f t="shared" si="1"/>
        <v>0</v>
      </c>
      <c r="AC11" s="257">
        <f t="shared" si="2"/>
        <v>0</v>
      </c>
      <c r="AD11" s="257"/>
      <c r="AE11" s="257"/>
      <c r="AF11" s="254"/>
      <c r="AG11" s="254"/>
      <c r="AH11" s="596"/>
      <c r="AI11" s="251"/>
      <c r="AJ11" s="615"/>
      <c r="AK11" s="254"/>
    </row>
    <row r="12" spans="1:37" s="258" customFormat="1" ht="15.95" customHeight="1">
      <c r="A12" s="591"/>
      <c r="B12" s="254"/>
      <c r="C12" s="254"/>
      <c r="D12" s="256"/>
      <c r="E12" s="654"/>
      <c r="F12" s="254"/>
      <c r="G12" s="254"/>
      <c r="H12" s="254"/>
      <c r="I12" s="254"/>
      <c r="J12" s="254"/>
      <c r="K12" s="594"/>
      <c r="L12" s="254"/>
      <c r="M12" s="254"/>
      <c r="N12" s="254"/>
      <c r="O12" s="592"/>
      <c r="P12" s="254"/>
      <c r="Q12" s="588"/>
      <c r="R12" s="255" t="e">
        <f t="shared" si="0"/>
        <v>#DIV/0!</v>
      </c>
      <c r="S12" s="588"/>
      <c r="T12" s="588"/>
      <c r="U12" s="589"/>
      <c r="V12" s="588"/>
      <c r="W12" s="629"/>
      <c r="X12" s="615"/>
      <c r="Y12" s="254"/>
      <c r="Z12" s="254"/>
      <c r="AA12" s="254"/>
      <c r="AB12" s="247">
        <f t="shared" si="1"/>
        <v>0</v>
      </c>
      <c r="AC12" s="257">
        <f t="shared" si="2"/>
        <v>0</v>
      </c>
      <c r="AD12" s="268"/>
      <c r="AE12" s="257"/>
      <c r="AF12" s="254"/>
      <c r="AG12" s="254"/>
      <c r="AH12" s="575"/>
      <c r="AI12" s="251"/>
      <c r="AJ12" s="615"/>
      <c r="AK12" s="254"/>
    </row>
    <row r="13" spans="1:37" s="258" customFormat="1" ht="15.95" customHeight="1">
      <c r="A13" s="661"/>
      <c r="B13" s="254"/>
      <c r="C13" s="254"/>
      <c r="D13" s="256"/>
      <c r="E13" s="701"/>
      <c r="F13" s="254"/>
      <c r="G13" s="254"/>
      <c r="H13" s="254"/>
      <c r="I13" s="254"/>
      <c r="J13" s="254"/>
      <c r="K13" s="594"/>
      <c r="L13" s="254"/>
      <c r="M13" s="254"/>
      <c r="N13" s="254"/>
      <c r="O13" s="592"/>
      <c r="P13" s="254"/>
      <c r="Q13" s="588"/>
      <c r="R13" s="255" t="e">
        <f t="shared" si="0"/>
        <v>#DIV/0!</v>
      </c>
      <c r="S13" s="588"/>
      <c r="T13" s="588"/>
      <c r="U13" s="589"/>
      <c r="V13" s="588"/>
      <c r="W13" s="629"/>
      <c r="X13" s="615"/>
      <c r="Y13" s="254"/>
      <c r="Z13" s="254"/>
      <c r="AA13" s="254"/>
      <c r="AB13" s="247">
        <f t="shared" si="1"/>
        <v>0</v>
      </c>
      <c r="AC13" s="257">
        <f t="shared" si="2"/>
        <v>0</v>
      </c>
      <c r="AD13" s="257"/>
      <c r="AE13" s="257"/>
      <c r="AF13" s="254"/>
      <c r="AG13" s="254"/>
      <c r="AH13" s="596"/>
      <c r="AI13" s="251"/>
      <c r="AJ13" s="615"/>
      <c r="AK13" s="676"/>
    </row>
    <row r="14" spans="1:37" s="258" customFormat="1" ht="15.95" customHeight="1">
      <c r="A14" s="591"/>
      <c r="B14" s="254"/>
      <c r="C14" s="254"/>
      <c r="D14" s="256"/>
      <c r="E14" s="654"/>
      <c r="F14" s="254"/>
      <c r="G14" s="254"/>
      <c r="H14" s="254"/>
      <c r="I14" s="254"/>
      <c r="J14" s="254"/>
      <c r="K14" s="594"/>
      <c r="L14" s="254"/>
      <c r="M14" s="254"/>
      <c r="N14" s="254"/>
      <c r="O14" s="592"/>
      <c r="P14" s="254"/>
      <c r="Q14" s="588"/>
      <c r="R14" s="255" t="e">
        <f t="shared" si="0"/>
        <v>#DIV/0!</v>
      </c>
      <c r="S14" s="588"/>
      <c r="T14" s="588"/>
      <c r="U14" s="589"/>
      <c r="V14" s="588"/>
      <c r="W14" s="629"/>
      <c r="X14" s="615"/>
      <c r="Y14" s="254"/>
      <c r="Z14" s="254"/>
      <c r="AA14" s="254"/>
      <c r="AB14" s="247">
        <f t="shared" si="1"/>
        <v>0</v>
      </c>
      <c r="AC14" s="257">
        <f t="shared" si="2"/>
        <v>0</v>
      </c>
      <c r="AD14" s="257"/>
      <c r="AE14" s="257"/>
      <c r="AF14" s="254"/>
      <c r="AG14" s="254"/>
      <c r="AH14" s="596"/>
      <c r="AI14" s="251"/>
      <c r="AJ14" s="615"/>
      <c r="AK14" s="254"/>
    </row>
    <row r="15" spans="1:37" s="258" customFormat="1" ht="15.95" customHeight="1">
      <c r="A15" s="591"/>
      <c r="B15" s="254"/>
      <c r="C15" s="254"/>
      <c r="D15" s="256"/>
      <c r="E15" s="654"/>
      <c r="F15" s="254"/>
      <c r="G15" s="254"/>
      <c r="H15" s="254"/>
      <c r="I15" s="254"/>
      <c r="J15" s="254"/>
      <c r="K15" s="594"/>
      <c r="L15" s="254"/>
      <c r="M15" s="254"/>
      <c r="N15" s="254"/>
      <c r="O15" s="592"/>
      <c r="P15" s="254"/>
      <c r="Q15" s="588"/>
      <c r="R15" s="255" t="e">
        <f t="shared" si="0"/>
        <v>#DIV/0!</v>
      </c>
      <c r="S15" s="588"/>
      <c r="T15" s="588"/>
      <c r="U15" s="589"/>
      <c r="V15" s="588"/>
      <c r="W15" s="629"/>
      <c r="X15" s="615"/>
      <c r="Y15" s="254"/>
      <c r="Z15" s="254"/>
      <c r="AA15" s="254"/>
      <c r="AB15" s="247">
        <f t="shared" si="1"/>
        <v>0</v>
      </c>
      <c r="AC15" s="257">
        <f t="shared" si="2"/>
        <v>0</v>
      </c>
      <c r="AD15" s="257"/>
      <c r="AE15" s="257"/>
      <c r="AF15" s="254"/>
      <c r="AG15" s="254"/>
      <c r="AH15" s="596"/>
      <c r="AI15" s="251"/>
      <c r="AJ15" s="615"/>
      <c r="AK15" s="254"/>
    </row>
    <row r="16" spans="1:37" s="258" customFormat="1" ht="15.95" customHeight="1">
      <c r="A16" s="591"/>
      <c r="B16" s="254"/>
      <c r="C16" s="254"/>
      <c r="D16" s="256"/>
      <c r="E16" s="654"/>
      <c r="F16" s="254"/>
      <c r="G16" s="254"/>
      <c r="H16" s="254"/>
      <c r="I16" s="254"/>
      <c r="J16" s="254"/>
      <c r="K16" s="594"/>
      <c r="L16" s="254"/>
      <c r="M16" s="254"/>
      <c r="N16" s="254"/>
      <c r="O16" s="592"/>
      <c r="P16" s="254"/>
      <c r="Q16" s="588"/>
      <c r="R16" s="255" t="e">
        <f t="shared" si="0"/>
        <v>#DIV/0!</v>
      </c>
      <c r="S16" s="588"/>
      <c r="T16" s="588"/>
      <c r="U16" s="589"/>
      <c r="V16" s="588"/>
      <c r="W16" s="629"/>
      <c r="X16" s="615"/>
      <c r="Y16" s="254"/>
      <c r="Z16" s="254"/>
      <c r="AA16" s="254"/>
      <c r="AB16" s="247">
        <f t="shared" si="1"/>
        <v>0</v>
      </c>
      <c r="AC16" s="257">
        <f t="shared" si="2"/>
        <v>0</v>
      </c>
      <c r="AD16" s="257"/>
      <c r="AE16" s="257"/>
      <c r="AF16" s="254"/>
      <c r="AG16" s="254"/>
      <c r="AH16" s="596"/>
      <c r="AI16" s="251"/>
      <c r="AJ16" s="615"/>
      <c r="AK16" s="254"/>
    </row>
    <row r="17" spans="1:37" s="258" customFormat="1" ht="15.95" customHeight="1">
      <c r="A17" s="591"/>
      <c r="B17" s="254"/>
      <c r="C17" s="254"/>
      <c r="D17" s="256"/>
      <c r="E17" s="654"/>
      <c r="F17" s="254"/>
      <c r="G17" s="254"/>
      <c r="H17" s="254"/>
      <c r="I17" s="254"/>
      <c r="J17" s="254"/>
      <c r="K17" s="594"/>
      <c r="L17" s="254"/>
      <c r="M17" s="254"/>
      <c r="N17" s="254"/>
      <c r="O17" s="592"/>
      <c r="P17" s="254"/>
      <c r="Q17" s="588"/>
      <c r="R17" s="255" t="e">
        <f t="shared" si="0"/>
        <v>#DIV/0!</v>
      </c>
      <c r="S17" s="588"/>
      <c r="T17" s="588"/>
      <c r="U17" s="589"/>
      <c r="V17" s="588"/>
      <c r="W17" s="629"/>
      <c r="X17" s="615"/>
      <c r="Y17" s="254"/>
      <c r="Z17" s="254"/>
      <c r="AA17" s="254"/>
      <c r="AB17" s="247">
        <f t="shared" si="1"/>
        <v>0</v>
      </c>
      <c r="AC17" s="257">
        <f t="shared" si="2"/>
        <v>0</v>
      </c>
      <c r="AD17" s="257"/>
      <c r="AE17" s="257"/>
      <c r="AF17" s="254"/>
      <c r="AG17" s="254"/>
      <c r="AH17" s="596"/>
      <c r="AI17" s="251"/>
      <c r="AJ17" s="615"/>
      <c r="AK17" s="254"/>
    </row>
    <row r="18" spans="1:37" s="258" customFormat="1" ht="15.95" customHeight="1">
      <c r="A18" s="591"/>
      <c r="B18" s="254"/>
      <c r="C18" s="254"/>
      <c r="D18" s="256"/>
      <c r="E18" s="654"/>
      <c r="F18" s="254"/>
      <c r="G18" s="254"/>
      <c r="H18" s="254"/>
      <c r="I18" s="254"/>
      <c r="J18" s="254"/>
      <c r="K18" s="594"/>
      <c r="L18" s="254"/>
      <c r="M18" s="254"/>
      <c r="N18" s="254"/>
      <c r="O18" s="592"/>
      <c r="P18" s="254"/>
      <c r="Q18" s="588"/>
      <c r="R18" s="255" t="e">
        <f t="shared" si="0"/>
        <v>#DIV/0!</v>
      </c>
      <c r="S18" s="588"/>
      <c r="T18" s="588"/>
      <c r="U18" s="589"/>
      <c r="V18" s="588"/>
      <c r="W18" s="629"/>
      <c r="X18" s="615"/>
      <c r="Y18" s="254"/>
      <c r="Z18" s="254"/>
      <c r="AA18" s="254"/>
      <c r="AB18" s="247">
        <f t="shared" si="1"/>
        <v>0</v>
      </c>
      <c r="AC18" s="257">
        <f t="shared" si="2"/>
        <v>0</v>
      </c>
      <c r="AD18" s="268"/>
      <c r="AE18" s="257"/>
      <c r="AF18" s="254"/>
      <c r="AG18" s="254"/>
      <c r="AH18" s="596"/>
      <c r="AI18" s="251"/>
      <c r="AJ18" s="615"/>
      <c r="AK18" s="254"/>
    </row>
    <row r="19" spans="1:37" s="258" customFormat="1" ht="15.95" customHeight="1">
      <c r="A19" s="591"/>
      <c r="B19" s="254"/>
      <c r="C19" s="254"/>
      <c r="D19" s="256"/>
      <c r="E19" s="654"/>
      <c r="F19" s="254"/>
      <c r="G19" s="254"/>
      <c r="H19" s="254"/>
      <c r="I19" s="254"/>
      <c r="J19" s="254"/>
      <c r="K19" s="594"/>
      <c r="L19" s="254"/>
      <c r="M19" s="254"/>
      <c r="N19" s="254"/>
      <c r="O19" s="592"/>
      <c r="P19" s="254"/>
      <c r="Q19" s="588"/>
      <c r="R19" s="255" t="e">
        <f t="shared" si="0"/>
        <v>#DIV/0!</v>
      </c>
      <c r="S19" s="588"/>
      <c r="T19" s="588"/>
      <c r="U19" s="589"/>
      <c r="V19" s="588"/>
      <c r="W19" s="629"/>
      <c r="X19" s="615"/>
      <c r="Y19" s="254"/>
      <c r="Z19" s="254"/>
      <c r="AA19" s="254"/>
      <c r="AB19" s="247">
        <f t="shared" si="1"/>
        <v>0</v>
      </c>
      <c r="AC19" s="257">
        <f t="shared" si="2"/>
        <v>0</v>
      </c>
      <c r="AD19" s="257"/>
      <c r="AE19" s="257"/>
      <c r="AF19" s="254"/>
      <c r="AG19" s="254"/>
      <c r="AH19" s="596"/>
      <c r="AI19" s="251"/>
      <c r="AJ19" s="615"/>
      <c r="AK19" s="254"/>
    </row>
    <row r="20" spans="1:37" s="258" customFormat="1" ht="15.95" customHeight="1">
      <c r="A20" s="591"/>
      <c r="B20" s="254"/>
      <c r="C20" s="254"/>
      <c r="D20" s="256"/>
      <c r="E20" s="654"/>
      <c r="F20" s="254"/>
      <c r="G20" s="254"/>
      <c r="H20" s="254"/>
      <c r="I20" s="254"/>
      <c r="J20" s="254"/>
      <c r="K20" s="594"/>
      <c r="L20" s="254"/>
      <c r="M20" s="254"/>
      <c r="N20" s="254"/>
      <c r="O20" s="592"/>
      <c r="P20" s="254"/>
      <c r="Q20" s="588"/>
      <c r="R20" s="255" t="e">
        <f t="shared" si="0"/>
        <v>#DIV/0!</v>
      </c>
      <c r="S20" s="588"/>
      <c r="T20" s="588"/>
      <c r="U20" s="589"/>
      <c r="V20" s="588"/>
      <c r="W20" s="629"/>
      <c r="X20" s="615"/>
      <c r="Y20" s="254"/>
      <c r="Z20" s="254"/>
      <c r="AA20" s="254"/>
      <c r="AB20" s="247">
        <f t="shared" si="1"/>
        <v>0</v>
      </c>
      <c r="AC20" s="257">
        <f t="shared" si="2"/>
        <v>0</v>
      </c>
      <c r="AD20" s="257"/>
      <c r="AE20" s="257"/>
      <c r="AF20" s="254"/>
      <c r="AG20" s="254"/>
      <c r="AH20" s="596"/>
      <c r="AI20" s="251"/>
      <c r="AJ20" s="615"/>
      <c r="AK20" s="254"/>
    </row>
    <row r="21" spans="1:37" s="258" customFormat="1" ht="15.95" customHeight="1">
      <c r="A21" s="254"/>
      <c r="B21" s="254"/>
      <c r="C21" s="254"/>
      <c r="D21" s="256"/>
      <c r="E21" s="654"/>
      <c r="F21" s="254"/>
      <c r="G21" s="254"/>
      <c r="H21" s="254"/>
      <c r="I21" s="254"/>
      <c r="J21" s="254"/>
      <c r="K21" s="256"/>
      <c r="L21" s="254"/>
      <c r="M21" s="254"/>
      <c r="N21" s="254"/>
      <c r="O21" s="256"/>
      <c r="P21" s="254"/>
      <c r="Q21" s="588"/>
      <c r="R21" s="255" t="e">
        <f t="shared" si="0"/>
        <v>#DIV/0!</v>
      </c>
      <c r="S21" s="589"/>
      <c r="T21" s="589"/>
      <c r="U21" s="597"/>
      <c r="V21" s="589"/>
      <c r="W21" s="629"/>
      <c r="X21" s="615"/>
      <c r="Y21" s="254"/>
      <c r="Z21" s="254"/>
      <c r="AA21" s="254"/>
      <c r="AB21" s="247">
        <f t="shared" si="1"/>
        <v>0</v>
      </c>
      <c r="AC21" s="257">
        <f t="shared" si="2"/>
        <v>0</v>
      </c>
      <c r="AD21" s="257"/>
      <c r="AE21" s="257"/>
      <c r="AF21" s="254"/>
      <c r="AG21" s="254"/>
      <c r="AH21" s="596"/>
      <c r="AI21" s="251"/>
      <c r="AJ21" s="615"/>
      <c r="AK21" s="254"/>
    </row>
    <row r="22" spans="1:37" ht="15.95" customHeight="1">
      <c r="A22" s="383"/>
      <c r="B22" s="384"/>
      <c r="C22" s="385"/>
      <c r="D22" s="115" t="s">
        <v>20</v>
      </c>
      <c r="E22" s="651"/>
      <c r="F22" s="385"/>
      <c r="G22" s="393">
        <f>SUM(G7:G21)</f>
        <v>0</v>
      </c>
      <c r="H22" s="393">
        <f>SUM(H7:H21)</f>
        <v>0</v>
      </c>
      <c r="I22" s="393">
        <f>SUM(I7:I21)</f>
        <v>0</v>
      </c>
      <c r="J22" s="393">
        <f>SUM(J7:J21)</f>
        <v>0</v>
      </c>
      <c r="K22" s="115"/>
      <c r="L22" s="114"/>
      <c r="M22" s="114"/>
      <c r="N22" s="114"/>
      <c r="O22" s="115"/>
      <c r="P22" s="114">
        <f>SUM(P7:P21)</f>
        <v>0</v>
      </c>
      <c r="Q22" s="387">
        <f>SUM(Q7:Q21)</f>
        <v>0</v>
      </c>
      <c r="R22" s="388"/>
      <c r="S22" s="389">
        <f>SUM(S7:S21)</f>
        <v>0</v>
      </c>
      <c r="T22" s="389"/>
      <c r="U22" s="391">
        <f>SUM(U7:U21)</f>
        <v>0</v>
      </c>
      <c r="V22" s="392">
        <f>SUM(V7:V21)</f>
        <v>0</v>
      </c>
      <c r="W22" s="299"/>
      <c r="X22" s="387"/>
      <c r="Y22" s="393"/>
      <c r="Z22" s="394"/>
      <c r="AA22" s="394"/>
      <c r="AB22" s="395">
        <f>SUM(AB7:AB21)</f>
        <v>0</v>
      </c>
      <c r="AC22" s="395">
        <f>SUM(AC7:AC21)</f>
        <v>0</v>
      </c>
      <c r="AD22" s="396">
        <f>SUM(AD7:AD21)</f>
        <v>0</v>
      </c>
      <c r="AE22" s="397"/>
      <c r="AF22" s="124"/>
      <c r="AG22" s="394"/>
      <c r="AH22" s="390"/>
      <c r="AI22" s="385"/>
      <c r="AJ22" s="616" t="s">
        <v>20</v>
      </c>
      <c r="AK22" s="390"/>
    </row>
    <row r="23" spans="1:37" ht="15.95" customHeight="1">
      <c r="C23" s="127"/>
      <c r="D23" s="129"/>
      <c r="E23" s="129"/>
      <c r="F23" s="127"/>
      <c r="G23" s="401"/>
      <c r="H23" s="401"/>
      <c r="I23" s="127"/>
      <c r="K23" s="129"/>
      <c r="L23" s="127"/>
      <c r="M23" s="128"/>
      <c r="N23" s="128"/>
      <c r="O23" s="129"/>
      <c r="P23" s="127" t="s">
        <v>21</v>
      </c>
      <c r="Q23" s="402"/>
      <c r="R23" s="363"/>
      <c r="S23" s="403"/>
      <c r="T23" s="403"/>
      <c r="U23" s="404"/>
      <c r="V23" s="405"/>
      <c r="W23" s="136"/>
      <c r="X23" s="617"/>
      <c r="Y23" s="406"/>
      <c r="Z23" s="404"/>
      <c r="AA23" s="404"/>
      <c r="AB23" s="352"/>
      <c r="AC23" s="352"/>
      <c r="AD23" s="611"/>
      <c r="AF23" s="136"/>
      <c r="AG23" s="404"/>
      <c r="AJ23" s="618"/>
    </row>
    <row r="24" spans="1:37" ht="15.95" customHeight="1">
      <c r="C24" s="127"/>
      <c r="D24" s="129"/>
      <c r="E24" s="129"/>
      <c r="F24" s="127"/>
      <c r="G24" s="401"/>
      <c r="H24" s="401"/>
      <c r="I24" s="127"/>
      <c r="K24" s="129"/>
      <c r="L24" s="127"/>
      <c r="M24" s="127"/>
      <c r="N24" s="127"/>
      <c r="O24" s="129"/>
      <c r="P24" s="127"/>
      <c r="Q24" s="402"/>
      <c r="S24" s="403"/>
      <c r="T24" s="403"/>
      <c r="U24" s="401"/>
      <c r="V24" s="408"/>
      <c r="W24" s="127"/>
      <c r="X24" s="402"/>
      <c r="Y24" s="401"/>
      <c r="Z24" s="401"/>
      <c r="AA24" s="401"/>
      <c r="AC24" s="352" t="s">
        <v>22</v>
      </c>
      <c r="AD24" s="612"/>
      <c r="AE24" s="367"/>
      <c r="AF24" s="128"/>
      <c r="AG24" s="406"/>
      <c r="AJ24" s="618"/>
    </row>
    <row r="25" spans="1:37" ht="15.95" customHeight="1">
      <c r="C25" s="127"/>
      <c r="D25" s="129"/>
      <c r="E25" s="129"/>
      <c r="F25" s="127"/>
      <c r="G25" s="401"/>
      <c r="H25" s="401"/>
      <c r="I25" s="127"/>
      <c r="K25" s="129"/>
      <c r="L25" s="127"/>
      <c r="M25" s="127"/>
      <c r="N25" s="127"/>
      <c r="O25" s="129"/>
      <c r="P25" s="127"/>
      <c r="Q25" s="402"/>
      <c r="S25" s="403"/>
      <c r="T25" s="403"/>
      <c r="U25" s="401"/>
      <c r="V25" s="408"/>
      <c r="W25" s="127"/>
      <c r="X25" s="402"/>
      <c r="Y25" s="401"/>
      <c r="Z25" s="401"/>
      <c r="AA25" s="401"/>
      <c r="AC25" s="352" t="s">
        <v>23</v>
      </c>
      <c r="AD25" s="612">
        <f>SMI!AB44</f>
        <v>211891891.89189187</v>
      </c>
      <c r="AE25" s="367"/>
      <c r="AF25" s="128"/>
      <c r="AG25" s="406"/>
      <c r="AH25" s="354"/>
      <c r="AJ25" s="618"/>
    </row>
    <row r="26" spans="1:37" ht="15.95" customHeight="1">
      <c r="C26" s="127"/>
      <c r="D26" s="129"/>
      <c r="E26" s="129"/>
      <c r="F26" s="127"/>
      <c r="G26" s="401"/>
      <c r="H26" s="401"/>
      <c r="I26" s="127"/>
      <c r="K26" s="129"/>
      <c r="L26" s="127"/>
      <c r="M26" s="127"/>
      <c r="N26" s="127"/>
      <c r="O26" s="129"/>
      <c r="P26" s="127"/>
      <c r="Q26" s="402"/>
      <c r="S26" s="403"/>
      <c r="T26" s="403"/>
      <c r="U26" s="401"/>
      <c r="V26" s="408"/>
      <c r="W26" s="127"/>
      <c r="X26" s="402"/>
      <c r="Y26" s="401"/>
      <c r="Z26" s="401"/>
      <c r="AA26" s="401"/>
      <c r="AC26" s="352" t="s">
        <v>24</v>
      </c>
      <c r="AD26" s="612">
        <f>AD24+AD25</f>
        <v>211891891.89189187</v>
      </c>
      <c r="AE26" s="367"/>
      <c r="AF26" s="128"/>
      <c r="AG26" s="406"/>
      <c r="AH26" s="354"/>
      <c r="AJ26" s="618"/>
    </row>
    <row r="27" spans="1:37" ht="15.95" customHeight="1">
      <c r="C27" s="127"/>
      <c r="D27" s="129"/>
      <c r="E27" s="129"/>
      <c r="F27" s="127"/>
      <c r="G27" s="401"/>
      <c r="H27" s="401"/>
      <c r="I27" s="127"/>
      <c r="K27" s="129"/>
      <c r="L27" s="127"/>
      <c r="M27" s="127"/>
      <c r="N27" s="127"/>
      <c r="O27" s="129"/>
      <c r="P27" s="127"/>
      <c r="Q27" s="402"/>
      <c r="S27" s="403"/>
      <c r="T27" s="403"/>
      <c r="U27" s="401"/>
      <c r="V27" s="408"/>
      <c r="W27" s="127"/>
      <c r="X27" s="402"/>
      <c r="Y27" s="401"/>
      <c r="Z27" s="401"/>
      <c r="AA27" s="401"/>
      <c r="AF27" s="128"/>
      <c r="AG27" s="406"/>
      <c r="AH27" s="354"/>
      <c r="AJ27" s="618"/>
    </row>
    <row r="28" spans="1:37" ht="15.95" customHeight="1">
      <c r="C28" s="127"/>
      <c r="D28" s="129"/>
      <c r="E28" s="129"/>
      <c r="F28" s="127"/>
      <c r="G28" s="401"/>
      <c r="H28" s="401"/>
      <c r="I28" s="127"/>
      <c r="K28" s="129"/>
      <c r="L28" s="127"/>
      <c r="M28" s="127"/>
      <c r="N28" s="127"/>
      <c r="O28" s="129"/>
      <c r="P28" s="127"/>
      <c r="Q28" s="402"/>
      <c r="S28" s="403"/>
      <c r="T28" s="403"/>
      <c r="U28" s="401"/>
      <c r="V28" s="408"/>
      <c r="W28" s="127"/>
      <c r="X28" s="402"/>
      <c r="Y28" s="401"/>
      <c r="Z28" s="401"/>
      <c r="AA28" s="401"/>
      <c r="AC28" s="619" t="s">
        <v>25</v>
      </c>
      <c r="AD28" s="620"/>
      <c r="AF28" s="128"/>
      <c r="AG28" s="406"/>
      <c r="AH28" s="354"/>
      <c r="AJ28" s="618"/>
    </row>
    <row r="29" spans="1:37" ht="15.95" customHeight="1">
      <c r="C29" s="127"/>
      <c r="D29" s="129"/>
      <c r="E29" s="129"/>
      <c r="F29" s="127"/>
      <c r="G29" s="401"/>
      <c r="H29" s="401"/>
      <c r="I29" s="127"/>
      <c r="K29" s="129"/>
      <c r="L29" s="127"/>
      <c r="M29" s="127"/>
      <c r="N29" s="127"/>
      <c r="O29" s="129"/>
      <c r="P29" s="127"/>
      <c r="Q29" s="402"/>
      <c r="S29" s="403"/>
      <c r="T29" s="403"/>
      <c r="U29" s="401"/>
      <c r="V29" s="408"/>
      <c r="W29" s="127"/>
      <c r="X29" s="402"/>
      <c r="Y29" s="401"/>
      <c r="Z29" s="401"/>
      <c r="AA29" s="401"/>
      <c r="AD29" s="611"/>
      <c r="AF29" s="128"/>
      <c r="AG29" s="406"/>
      <c r="AH29" s="354"/>
      <c r="AJ29" s="618"/>
    </row>
    <row r="30" spans="1:37" ht="15.95" customHeight="1">
      <c r="C30" s="127"/>
      <c r="D30" s="129"/>
      <c r="E30" s="129"/>
      <c r="F30" s="127"/>
      <c r="G30" s="401"/>
      <c r="H30" s="401"/>
      <c r="I30" s="127"/>
      <c r="K30" s="129"/>
      <c r="L30" s="127"/>
      <c r="M30" s="127"/>
      <c r="N30" s="127"/>
      <c r="O30" s="129"/>
      <c r="P30" s="127"/>
      <c r="Q30" s="402"/>
      <c r="S30" s="403"/>
      <c r="T30" s="403"/>
      <c r="U30" s="401"/>
      <c r="V30" s="408"/>
      <c r="W30" s="127"/>
      <c r="X30" s="402"/>
      <c r="Y30" s="401"/>
      <c r="Z30" s="401"/>
      <c r="AA30" s="401"/>
      <c r="AD30" s="611" t="s">
        <v>16</v>
      </c>
      <c r="AF30" s="128"/>
      <c r="AG30" s="406"/>
      <c r="AH30" s="354"/>
      <c r="AJ30" s="618"/>
    </row>
    <row r="31" spans="1:37" ht="15.95" customHeight="1">
      <c r="C31" s="127"/>
      <c r="D31" s="415"/>
      <c r="E31" s="415"/>
      <c r="F31" s="127"/>
      <c r="G31" s="142"/>
      <c r="H31" s="141"/>
      <c r="I31" s="127"/>
      <c r="K31" s="141"/>
      <c r="L31" s="141"/>
      <c r="M31" s="141"/>
      <c r="N31" s="141"/>
      <c r="O31" s="141"/>
      <c r="P31" s="142"/>
      <c r="Q31" s="402"/>
      <c r="S31" s="403"/>
      <c r="T31" s="403"/>
      <c r="U31" s="401"/>
      <c r="V31" s="408"/>
      <c r="W31" s="127"/>
      <c r="X31" s="402"/>
      <c r="Y31" s="401"/>
      <c r="Z31" s="401"/>
      <c r="AA31" s="401"/>
      <c r="AC31" s="621"/>
      <c r="AD31" s="622">
        <f>AD26/AD37*100%</f>
        <v>1.5695695695695695E-2</v>
      </c>
      <c r="AE31" s="623"/>
      <c r="AF31" s="128"/>
      <c r="AG31" s="406"/>
      <c r="AH31" s="354"/>
      <c r="AJ31" s="624"/>
    </row>
    <row r="32" spans="1:37" ht="15.95" customHeight="1">
      <c r="AH32" s="354"/>
    </row>
    <row r="33" spans="3:36" ht="15.95" customHeight="1">
      <c r="AH33" s="354"/>
    </row>
    <row r="34" spans="3:36" ht="15.95" customHeight="1">
      <c r="AH34" s="354"/>
    </row>
    <row r="35" spans="3:36" ht="15.95" customHeight="1">
      <c r="C35" s="415"/>
      <c r="D35" s="415"/>
      <c r="E35" s="415"/>
      <c r="F35" s="415"/>
      <c r="G35" s="142"/>
      <c r="H35" s="141"/>
      <c r="I35" s="415"/>
      <c r="K35" s="141"/>
      <c r="L35" s="141"/>
      <c r="M35" s="141"/>
      <c r="N35" s="141"/>
      <c r="O35" s="141"/>
      <c r="P35" s="142"/>
      <c r="Q35" s="141"/>
      <c r="R35" s="416"/>
      <c r="S35" s="47"/>
      <c r="T35" s="47"/>
      <c r="U35" s="416"/>
      <c r="V35" s="300"/>
      <c r="W35" s="300"/>
      <c r="X35" s="626"/>
      <c r="Y35" s="415"/>
      <c r="Z35" s="415"/>
      <c r="AA35" s="141"/>
      <c r="AB35" s="141"/>
      <c r="AC35" s="409" t="s">
        <v>26</v>
      </c>
      <c r="AD35" s="410">
        <f>DS!AD322</f>
        <v>13500000000</v>
      </c>
      <c r="AF35" s="151"/>
      <c r="AG35" s="151"/>
      <c r="AH35" s="354"/>
      <c r="AJ35" s="624"/>
    </row>
    <row r="36" spans="3:36" ht="15.95" customHeight="1">
      <c r="C36" s="415"/>
      <c r="D36" s="418"/>
      <c r="E36" s="418"/>
      <c r="F36" s="415"/>
      <c r="G36" s="627"/>
      <c r="H36" s="141"/>
      <c r="I36" s="415"/>
      <c r="K36" s="141"/>
      <c r="L36" s="141"/>
      <c r="M36" s="141"/>
      <c r="N36" s="141"/>
      <c r="O36" s="141"/>
      <c r="P36" s="142"/>
      <c r="Q36" s="141"/>
      <c r="R36" s="416"/>
      <c r="S36" s="47"/>
      <c r="T36" s="47"/>
      <c r="U36" s="416"/>
      <c r="V36" s="300"/>
      <c r="W36" s="300"/>
      <c r="X36" s="626"/>
      <c r="Y36" s="415"/>
      <c r="Z36" s="415"/>
      <c r="AA36" s="141"/>
      <c r="AB36" s="141"/>
      <c r="AC36" s="409" t="s">
        <v>27</v>
      </c>
      <c r="AD36" s="410">
        <v>0</v>
      </c>
      <c r="AF36" s="151"/>
      <c r="AG36" s="151"/>
      <c r="AH36" s="354"/>
      <c r="AJ36" s="628"/>
    </row>
    <row r="37" spans="3:36" ht="15.95" customHeight="1">
      <c r="AC37" s="409" t="s">
        <v>28</v>
      </c>
      <c r="AD37" s="410">
        <f>AD35</f>
        <v>13500000000</v>
      </c>
      <c r="AH37" s="354"/>
    </row>
    <row r="38" spans="3:36" ht="15.95" customHeight="1">
      <c r="AH38" s="354"/>
    </row>
    <row r="65378" ht="12.75" customHeight="1"/>
    <row r="65379" ht="12.75" customHeight="1"/>
    <row r="65380" ht="12.75" customHeight="1"/>
    <row r="65381" ht="12.75" customHeight="1"/>
    <row r="65382" ht="12.75" customHeight="1"/>
    <row r="65383" ht="12.75" customHeight="1"/>
    <row r="65384" ht="12.75" customHeight="1"/>
    <row r="65385" ht="12.75" customHeight="1"/>
    <row r="65386" ht="12.75" customHeight="1"/>
    <row r="65387" ht="12.75" customHeight="1"/>
    <row r="65388" ht="12.75" customHeight="1"/>
    <row r="65389" ht="12.75" customHeight="1"/>
    <row r="65390" ht="12.75" customHeight="1"/>
    <row r="65391" ht="12.75" customHeight="1"/>
    <row r="65392" ht="12.75" customHeight="1"/>
    <row r="65393" ht="12.75" customHeight="1"/>
    <row r="65394" ht="12.75" customHeight="1"/>
    <row r="65490" spans="13:13" ht="15.95" customHeight="1">
      <c r="M65490" s="153"/>
    </row>
  </sheetData>
  <sheetProtection selectLockedCells="1" selectUnlockedCells="1"/>
  <mergeCells count="29">
    <mergeCell ref="G5:G6"/>
    <mergeCell ref="H5:H6"/>
    <mergeCell ref="I5:I6"/>
    <mergeCell ref="J5:J6"/>
    <mergeCell ref="K5:K6"/>
    <mergeCell ref="A5:A6"/>
    <mergeCell ref="B5:B6"/>
    <mergeCell ref="C5:C6"/>
    <mergeCell ref="D5:D6"/>
    <mergeCell ref="F5:F6"/>
    <mergeCell ref="E5:E6"/>
    <mergeCell ref="AK5:AK6"/>
    <mergeCell ref="AD5:AD6"/>
    <mergeCell ref="AE5:AE6"/>
    <mergeCell ref="AF5:AF6"/>
    <mergeCell ref="AG5:AG6"/>
    <mergeCell ref="AH5:AH6"/>
    <mergeCell ref="AJ5:AJ6"/>
    <mergeCell ref="Q5:Q6"/>
    <mergeCell ref="R5:R6"/>
    <mergeCell ref="S5:S6"/>
    <mergeCell ref="T5:AB5"/>
    <mergeCell ref="AI5:AI6"/>
    <mergeCell ref="AC5:AC6"/>
    <mergeCell ref="L5:L6"/>
    <mergeCell ref="M5:M6"/>
    <mergeCell ref="N5:N6"/>
    <mergeCell ref="O5:O6"/>
    <mergeCell ref="P5:P6"/>
  </mergeCells>
  <printOptions horizontalCentered="1"/>
  <pageMargins left="0" right="0" top="0" bottom="0" header="0" footer="0"/>
  <pageSetup scale="31" firstPageNumber="0" orientation="landscape" useFirstPageNumber="1" horizontalDpi="300" verticalDpi="300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'Sales Support'!$F$2:$F$4</xm:f>
          </x14:formula1>
          <xm:sqref>AI1:AI6 AI8:AI1048576</xm:sqref>
        </x14:dataValidation>
        <x14:dataValidation type="list" allowBlank="1" showInputMessage="1" showErrorMessage="1">
          <x14:formula1>
            <xm:f>Data!$A:$A</xm:f>
          </x14:formula1>
          <xm:sqref>F1:F1048576</xm:sqref>
        </x14:dataValidation>
        <x14:dataValidation type="list" allowBlank="1" showInputMessage="1" showErrorMessage="1">
          <x14:formula1>
            <xm:f>Data!$D$1:$D$7</xm:f>
          </x14:formula1>
          <xm:sqref>K7:K21</xm:sqref>
        </x14:dataValidation>
        <x14:dataValidation type="list" allowBlank="1" showInputMessage="1" showErrorMessage="1">
          <x14:formula1>
            <xm:f>'Sales Support'!$A$2:$A$107</xm:f>
          </x14:formula1>
          <xm:sqref>AH7:AH11 AH13:AH21 AI7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O65476"/>
  <sheetViews>
    <sheetView zoomScale="60" zoomScaleNormal="60" zoomScaleSheetLayoutView="10" workbookViewId="0">
      <pane xSplit="4" ySplit="8" topLeftCell="U9" activePane="bottomRight" state="frozen"/>
      <selection activeCell="U35" sqref="U35"/>
      <selection pane="topRight" activeCell="U35" sqref="U35"/>
      <selection pane="bottomLeft" activeCell="U35" sqref="U35"/>
      <selection pane="bottomRight" activeCell="Z61" sqref="Z61"/>
    </sheetView>
  </sheetViews>
  <sheetFormatPr defaultColWidth="8.5" defaultRowHeight="12.75" customHeight="1"/>
  <cols>
    <col min="1" max="1" width="10.625" style="33" customWidth="1"/>
    <col min="2" max="2" width="18.25" style="34" customWidth="1"/>
    <col min="3" max="3" width="33.125" style="34" customWidth="1"/>
    <col min="4" max="5" width="30.375" style="146" customWidth="1"/>
    <col min="6" max="6" width="15.25" style="34" customWidth="1"/>
    <col min="7" max="8" width="6.75" style="33" customWidth="1"/>
    <col min="9" max="9" width="6.75" style="34" customWidth="1"/>
    <col min="10" max="10" width="6.75" style="33" customWidth="1"/>
    <col min="11" max="11" width="10.5" style="102" bestFit="1" customWidth="1"/>
    <col min="12" max="12" width="12.75" style="45" customWidth="1"/>
    <col min="13" max="13" width="21.125" style="45" customWidth="1"/>
    <col min="14" max="14" width="12.75" style="45" customWidth="1"/>
    <col min="15" max="15" width="90.25" style="102" customWidth="1"/>
    <col min="16" max="16" width="4.25" style="34" customWidth="1"/>
    <col min="17" max="17" width="17.75" style="83" customWidth="1"/>
    <col min="18" max="18" width="11.5" style="33" customWidth="1"/>
    <col min="19" max="19" width="16.75" style="84" customWidth="1"/>
    <col min="20" max="20" width="31.375" style="84" bestFit="1" customWidth="1"/>
    <col min="21" max="21" width="19.125" style="84" customWidth="1"/>
    <col min="22" max="22" width="15" style="33" customWidth="1"/>
    <col min="23" max="23" width="17" style="95" bestFit="1" customWidth="1"/>
    <col min="24" max="24" width="13.75" style="33" customWidth="1"/>
    <col min="25" max="25" width="20.25" style="33" customWidth="1"/>
    <col min="26" max="26" width="12.75" style="33" customWidth="1"/>
    <col min="27" max="27" width="17.875" style="33" customWidth="1"/>
    <col min="28" max="28" width="19.5" style="87" customWidth="1"/>
    <col min="29" max="29" width="17" style="87" bestFit="1" customWidth="1"/>
    <col min="30" max="30" width="30.375" style="76" bestFit="1" customWidth="1"/>
    <col min="31" max="31" width="13.5" style="77" customWidth="1"/>
    <col min="32" max="32" width="5.125" style="26" bestFit="1" customWidth="1"/>
    <col min="33" max="33" width="16.75" style="30" bestFit="1" customWidth="1"/>
    <col min="34" max="34" width="19.125" style="33" bestFit="1" customWidth="1"/>
    <col min="35" max="35" width="30.5" style="33" customWidth="1"/>
    <col min="36" max="36" width="15.5" style="4" customWidth="1"/>
    <col min="37" max="37" width="17.5" style="4" customWidth="1"/>
    <col min="38" max="254" width="8.5" style="4" customWidth="1"/>
    <col min="255" max="16384" width="8.5" style="4"/>
  </cols>
  <sheetData>
    <row r="1" spans="1:35" ht="17.100000000000001" customHeight="1">
      <c r="A1" s="69" t="str">
        <f>DS!A1</f>
        <v>BVLGARI – Plaza Indonesia</v>
      </c>
      <c r="B1" s="70"/>
      <c r="C1" s="78"/>
      <c r="D1" s="71"/>
      <c r="E1" s="71"/>
      <c r="F1" s="78"/>
      <c r="K1" s="73"/>
      <c r="L1" s="37"/>
      <c r="M1" s="72"/>
      <c r="N1" s="72"/>
      <c r="O1" s="73"/>
      <c r="P1" s="70"/>
      <c r="Q1" s="69"/>
      <c r="R1" s="74"/>
      <c r="S1" s="75"/>
      <c r="T1" s="75"/>
      <c r="U1" s="75"/>
      <c r="V1" s="69"/>
      <c r="W1" s="75"/>
      <c r="X1" s="30"/>
      <c r="Y1" s="30"/>
      <c r="Z1" s="69"/>
      <c r="AA1" s="69"/>
      <c r="AB1" s="76"/>
      <c r="AC1" s="76"/>
      <c r="AF1" s="37"/>
    </row>
    <row r="2" spans="1:35" ht="17.100000000000001" customHeight="1">
      <c r="A2" s="69" t="s">
        <v>753</v>
      </c>
      <c r="B2" s="70"/>
      <c r="D2" s="71"/>
      <c r="E2" s="71"/>
      <c r="K2" s="82"/>
      <c r="L2" s="79"/>
      <c r="M2" s="80"/>
      <c r="N2" s="81"/>
      <c r="O2" s="82"/>
      <c r="V2" s="85"/>
      <c r="W2" s="86"/>
      <c r="Z2" s="85"/>
      <c r="AA2" s="85"/>
      <c r="AF2" s="88"/>
    </row>
    <row r="3" spans="1:35" ht="17.100000000000001" customHeight="1">
      <c r="A3" s="90" t="s">
        <v>611</v>
      </c>
      <c r="B3" s="154">
        <f>DS!B3</f>
        <v>46266</v>
      </c>
      <c r="C3" s="100"/>
      <c r="D3" s="91"/>
      <c r="E3" s="91"/>
      <c r="F3" s="100"/>
      <c r="K3" s="25"/>
      <c r="L3" s="26"/>
      <c r="M3" s="92"/>
      <c r="N3" s="93"/>
      <c r="O3" s="25"/>
      <c r="R3" s="94"/>
      <c r="V3" s="85"/>
      <c r="W3" s="86"/>
      <c r="Z3" s="95"/>
      <c r="AA3" s="95"/>
      <c r="AB3" s="96"/>
      <c r="AC3" s="96"/>
      <c r="AD3" s="97"/>
      <c r="AE3" s="98"/>
      <c r="AG3" s="99"/>
    </row>
    <row r="4" spans="1:35" ht="17.100000000000001" customHeight="1">
      <c r="A4" s="90"/>
      <c r="B4" s="179"/>
      <c r="C4" s="100"/>
      <c r="D4" s="91"/>
      <c r="E4" s="91"/>
      <c r="F4" s="100"/>
      <c r="K4" s="25"/>
      <c r="L4" s="26"/>
      <c r="M4" s="92"/>
      <c r="N4" s="93"/>
      <c r="O4" s="25"/>
      <c r="R4" s="94"/>
      <c r="V4" s="85"/>
      <c r="W4" s="86"/>
      <c r="Z4" s="95"/>
      <c r="AA4" s="95"/>
      <c r="AB4" s="96"/>
      <c r="AC4" s="96"/>
      <c r="AD4" s="97"/>
      <c r="AE4" s="98"/>
      <c r="AG4" s="99"/>
      <c r="AI4" s="4"/>
    </row>
    <row r="5" spans="1:35" ht="17.100000000000001" customHeight="1">
      <c r="A5" s="90"/>
      <c r="B5" s="179"/>
      <c r="C5" s="100"/>
      <c r="D5" s="91"/>
      <c r="E5" s="91"/>
      <c r="F5" s="100"/>
      <c r="K5" s="25"/>
      <c r="L5" s="26"/>
      <c r="M5" s="92"/>
      <c r="N5" s="93"/>
      <c r="O5" s="25"/>
      <c r="R5" s="94"/>
      <c r="V5" s="85"/>
      <c r="W5" s="86"/>
      <c r="Z5" s="95"/>
      <c r="AA5" s="95"/>
      <c r="AB5" s="96"/>
      <c r="AC5" s="96"/>
      <c r="AD5" s="97"/>
      <c r="AE5" s="98"/>
      <c r="AG5" s="99"/>
      <c r="AI5" s="4"/>
    </row>
    <row r="6" spans="1:35" ht="12.75" customHeight="1">
      <c r="A6" s="69" t="s">
        <v>69</v>
      </c>
      <c r="B6" s="78"/>
      <c r="C6" s="106"/>
      <c r="D6" s="35"/>
      <c r="E6" s="35"/>
      <c r="F6" s="106"/>
      <c r="L6" s="26"/>
      <c r="M6" s="101"/>
      <c r="N6" s="101"/>
      <c r="Q6" s="103"/>
      <c r="R6" s="94"/>
      <c r="S6" s="104"/>
      <c r="T6" s="104"/>
      <c r="U6" s="104"/>
      <c r="V6" s="89"/>
      <c r="W6" s="105"/>
      <c r="X6" s="30"/>
      <c r="Y6" s="30"/>
      <c r="Z6" s="95"/>
      <c r="AA6" s="95"/>
      <c r="AB6" s="96"/>
      <c r="AC6" s="96"/>
      <c r="AD6" s="97"/>
      <c r="AE6" s="98"/>
      <c r="AG6" s="99" t="s">
        <v>638</v>
      </c>
      <c r="AI6" s="4"/>
    </row>
    <row r="7" spans="1:35" s="200" customFormat="1" ht="17.100000000000001" customHeight="1">
      <c r="A7" s="1006" t="s">
        <v>1</v>
      </c>
      <c r="B7" s="1006" t="s">
        <v>2</v>
      </c>
      <c r="C7" s="969" t="s">
        <v>620</v>
      </c>
      <c r="D7" s="1008" t="s">
        <v>3</v>
      </c>
      <c r="E7" s="1018" t="s">
        <v>794</v>
      </c>
      <c r="F7" s="969" t="s">
        <v>17</v>
      </c>
      <c r="G7" s="969" t="s">
        <v>4</v>
      </c>
      <c r="H7" s="969" t="s">
        <v>5</v>
      </c>
      <c r="I7" s="969" t="s">
        <v>621</v>
      </c>
      <c r="J7" s="969" t="s">
        <v>622</v>
      </c>
      <c r="K7" s="969" t="s">
        <v>614</v>
      </c>
      <c r="L7" s="1010" t="s">
        <v>6</v>
      </c>
      <c r="M7" s="1006" t="s">
        <v>613</v>
      </c>
      <c r="N7" s="1006" t="s">
        <v>612</v>
      </c>
      <c r="O7" s="1008" t="s">
        <v>7</v>
      </c>
      <c r="P7" s="1010" t="s">
        <v>8</v>
      </c>
      <c r="Q7" s="1012" t="s">
        <v>9</v>
      </c>
      <c r="R7" s="1014" t="s">
        <v>10</v>
      </c>
      <c r="S7" s="1016" t="s">
        <v>11</v>
      </c>
      <c r="T7" s="969" t="s">
        <v>625</v>
      </c>
      <c r="U7" s="996" t="s">
        <v>12</v>
      </c>
      <c r="V7" s="997"/>
      <c r="W7" s="997"/>
      <c r="X7" s="997"/>
      <c r="Y7" s="997"/>
      <c r="Z7" s="997"/>
      <c r="AA7" s="997"/>
      <c r="AB7" s="997"/>
      <c r="AC7" s="998" t="s">
        <v>44</v>
      </c>
      <c r="AD7" s="1000" t="s">
        <v>617</v>
      </c>
      <c r="AE7" s="1002" t="s">
        <v>618</v>
      </c>
      <c r="AF7" s="969" t="s">
        <v>610</v>
      </c>
      <c r="AG7" s="1004" t="s">
        <v>619</v>
      </c>
      <c r="AH7" s="969" t="s">
        <v>623</v>
      </c>
    </row>
    <row r="8" spans="1:35" s="200" customFormat="1" ht="17.100000000000001" customHeight="1">
      <c r="A8" s="1007"/>
      <c r="B8" s="1007"/>
      <c r="C8" s="970"/>
      <c r="D8" s="1009"/>
      <c r="E8" s="1018"/>
      <c r="F8" s="970"/>
      <c r="G8" s="970"/>
      <c r="H8" s="970"/>
      <c r="I8" s="970"/>
      <c r="J8" s="970"/>
      <c r="K8" s="970"/>
      <c r="L8" s="1011"/>
      <c r="M8" s="1007"/>
      <c r="N8" s="1007"/>
      <c r="O8" s="1009"/>
      <c r="P8" s="1011"/>
      <c r="Q8" s="1013"/>
      <c r="R8" s="1015"/>
      <c r="S8" s="1017"/>
      <c r="T8" s="970"/>
      <c r="U8" s="201" t="s">
        <v>624</v>
      </c>
      <c r="V8" s="202" t="s">
        <v>18</v>
      </c>
      <c r="W8" s="203" t="s">
        <v>19</v>
      </c>
      <c r="X8" s="202" t="s">
        <v>13</v>
      </c>
      <c r="Y8" s="202" t="s">
        <v>615</v>
      </c>
      <c r="Z8" s="202" t="s">
        <v>14</v>
      </c>
      <c r="AA8" s="202" t="s">
        <v>616</v>
      </c>
      <c r="AB8" s="204" t="s">
        <v>15</v>
      </c>
      <c r="AC8" s="999"/>
      <c r="AD8" s="1001"/>
      <c r="AE8" s="1003"/>
      <c r="AF8" s="970"/>
      <c r="AG8" s="1005"/>
      <c r="AH8" s="970"/>
    </row>
    <row r="9" spans="1:35" s="33" customFormat="1" ht="19.350000000000001" customHeight="1">
      <c r="A9" s="661"/>
      <c r="B9" s="231"/>
      <c r="C9" s="231"/>
      <c r="D9" s="233"/>
      <c r="E9" s="711"/>
      <c r="F9" s="663"/>
      <c r="G9" s="234"/>
      <c r="H9" s="234"/>
      <c r="I9" s="234"/>
      <c r="J9" s="235"/>
      <c r="K9" s="235"/>
      <c r="L9" s="34"/>
      <c r="M9" s="38"/>
      <c r="N9" s="235"/>
      <c r="O9" s="236"/>
      <c r="P9" s="234"/>
      <c r="Q9" s="237"/>
      <c r="R9" s="681" t="e">
        <f t="shared" ref="R9:R27" si="0">(Q9-S9)/Q9*100</f>
        <v>#DIV/0!</v>
      </c>
      <c r="S9" s="273"/>
      <c r="T9" s="710"/>
      <c r="U9" s="273"/>
      <c r="V9" s="273"/>
      <c r="W9" s="273"/>
      <c r="X9" s="271"/>
      <c r="Y9" s="271"/>
      <c r="Z9" s="271"/>
      <c r="AA9" s="271"/>
      <c r="AB9" s="240">
        <f>W9*0.15%</f>
        <v>0</v>
      </c>
      <c r="AC9" s="240">
        <f t="shared" ref="AC9:AC27" si="1">(S9/1.11)</f>
        <v>0</v>
      </c>
      <c r="AD9" s="276"/>
      <c r="AE9" s="275"/>
      <c r="AF9" s="274"/>
      <c r="AG9" s="270"/>
      <c r="AH9" s="572"/>
      <c r="AI9" s="87"/>
    </row>
    <row r="10" spans="1:35" s="33" customFormat="1" ht="19.350000000000001" customHeight="1">
      <c r="A10" s="333"/>
      <c r="B10" s="234"/>
      <c r="C10" s="232"/>
      <c r="D10" s="244"/>
      <c r="E10" s="652"/>
      <c r="F10" s="234"/>
      <c r="G10" s="234"/>
      <c r="H10" s="234"/>
      <c r="I10" s="234"/>
      <c r="J10" s="235"/>
      <c r="K10" s="235"/>
      <c r="L10" s="235"/>
      <c r="M10" s="270"/>
      <c r="N10" s="235"/>
      <c r="O10" s="236"/>
      <c r="P10" s="234"/>
      <c r="Q10" s="237"/>
      <c r="R10" s="238" t="e">
        <f t="shared" si="0"/>
        <v>#DIV/0!</v>
      </c>
      <c r="S10" s="273"/>
      <c r="T10" s="321"/>
      <c r="U10" s="273"/>
      <c r="V10" s="273"/>
      <c r="W10" s="278"/>
      <c r="X10" s="271"/>
      <c r="Y10" s="271"/>
      <c r="Z10" s="271"/>
      <c r="AA10" s="275"/>
      <c r="AB10" s="240">
        <f>W10*1.5%</f>
        <v>0</v>
      </c>
      <c r="AC10" s="240">
        <f t="shared" si="1"/>
        <v>0</v>
      </c>
      <c r="AD10" s="276"/>
      <c r="AE10" s="275"/>
      <c r="AF10" s="274"/>
      <c r="AG10" s="270"/>
      <c r="AH10" s="425"/>
      <c r="AI10" s="87"/>
    </row>
    <row r="11" spans="1:35" s="33" customFormat="1" ht="19.350000000000001" customHeight="1">
      <c r="A11" s="333"/>
      <c r="B11" s="234"/>
      <c r="C11" s="234"/>
      <c r="D11" s="244"/>
      <c r="E11" s="652"/>
      <c r="F11" s="234"/>
      <c r="G11" s="234"/>
      <c r="H11" s="234"/>
      <c r="I11" s="234"/>
      <c r="J11" s="235"/>
      <c r="K11" s="270"/>
      <c r="L11" s="245"/>
      <c r="M11" s="245"/>
      <c r="N11" s="245"/>
      <c r="O11" s="246"/>
      <c r="P11" s="234"/>
      <c r="Q11" s="237"/>
      <c r="R11" s="238" t="e">
        <f t="shared" si="0"/>
        <v>#DIV/0!</v>
      </c>
      <c r="S11" s="273"/>
      <c r="T11" s="338"/>
      <c r="U11" s="273"/>
      <c r="V11" s="273"/>
      <c r="W11" s="273"/>
      <c r="X11" s="271"/>
      <c r="Y11" s="271"/>
      <c r="Z11" s="271"/>
      <c r="AA11" s="271"/>
      <c r="AB11" s="240">
        <f>W11*1.5%</f>
        <v>0</v>
      </c>
      <c r="AC11" s="240">
        <f t="shared" si="1"/>
        <v>0</v>
      </c>
      <c r="AD11" s="279"/>
      <c r="AE11" s="275"/>
      <c r="AF11" s="274"/>
      <c r="AG11" s="270"/>
      <c r="AH11" s="572"/>
      <c r="AI11" s="87"/>
    </row>
    <row r="12" spans="1:35" s="33" customFormat="1" ht="17.100000000000001" customHeight="1">
      <c r="A12" s="289"/>
      <c r="B12" s="270"/>
      <c r="C12" s="270"/>
      <c r="D12" s="290"/>
      <c r="E12" s="649"/>
      <c r="F12" s="270"/>
      <c r="G12" s="270"/>
      <c r="H12" s="270"/>
      <c r="I12" s="270"/>
      <c r="J12" s="270"/>
      <c r="K12" s="270"/>
      <c r="L12" s="270"/>
      <c r="M12" s="270"/>
      <c r="N12" s="270"/>
      <c r="O12" s="291"/>
      <c r="P12" s="270"/>
      <c r="Q12" s="292"/>
      <c r="R12" s="238" t="e">
        <f t="shared" si="0"/>
        <v>#DIV/0!</v>
      </c>
      <c r="S12" s="292"/>
      <c r="T12" s="339"/>
      <c r="U12" s="292"/>
      <c r="V12" s="292"/>
      <c r="W12" s="292"/>
      <c r="X12" s="270"/>
      <c r="Y12" s="270"/>
      <c r="Z12" s="270"/>
      <c r="AA12" s="270"/>
      <c r="AB12" s="240">
        <f t="shared" ref="AB12:AB18" si="2">W12*1.3%</f>
        <v>0</v>
      </c>
      <c r="AC12" s="240">
        <f t="shared" si="1"/>
        <v>0</v>
      </c>
      <c r="AD12" s="279"/>
      <c r="AE12" s="280"/>
      <c r="AF12" s="274"/>
      <c r="AG12" s="270"/>
      <c r="AH12" s="425"/>
    </row>
    <row r="13" spans="1:35" s="33" customFormat="1" ht="17.100000000000001" customHeight="1">
      <c r="A13" s="289"/>
      <c r="B13" s="270"/>
      <c r="C13" s="270"/>
      <c r="D13" s="290"/>
      <c r="E13" s="649"/>
      <c r="F13" s="270"/>
      <c r="G13" s="270"/>
      <c r="H13" s="270"/>
      <c r="I13" s="270"/>
      <c r="J13" s="270"/>
      <c r="K13" s="270"/>
      <c r="L13" s="270"/>
      <c r="M13" s="270"/>
      <c r="N13" s="270"/>
      <c r="O13" s="290"/>
      <c r="P13" s="270"/>
      <c r="Q13" s="292"/>
      <c r="R13" s="238" t="e">
        <f t="shared" si="0"/>
        <v>#DIV/0!</v>
      </c>
      <c r="S13" s="292"/>
      <c r="T13" s="339"/>
      <c r="U13" s="292"/>
      <c r="V13" s="340"/>
      <c r="W13" s="292"/>
      <c r="X13" s="270"/>
      <c r="Y13" s="270"/>
      <c r="Z13" s="270"/>
      <c r="AA13" s="270"/>
      <c r="AB13" s="240">
        <f t="shared" si="2"/>
        <v>0</v>
      </c>
      <c r="AC13" s="240">
        <f t="shared" si="1"/>
        <v>0</v>
      </c>
      <c r="AD13" s="279"/>
      <c r="AE13" s="280"/>
      <c r="AF13" s="274"/>
      <c r="AG13" s="270"/>
      <c r="AH13" s="425"/>
    </row>
    <row r="14" spans="1:35" s="33" customFormat="1" ht="20.100000000000001" customHeight="1">
      <c r="A14" s="289"/>
      <c r="B14" s="270"/>
      <c r="C14" s="270"/>
      <c r="D14" s="290"/>
      <c r="E14" s="649"/>
      <c r="F14" s="270"/>
      <c r="G14" s="270"/>
      <c r="H14" s="270"/>
      <c r="I14" s="270"/>
      <c r="J14" s="270"/>
      <c r="K14" s="270"/>
      <c r="L14" s="270"/>
      <c r="M14" s="293"/>
      <c r="N14" s="293"/>
      <c r="O14" s="291"/>
      <c r="P14" s="270"/>
      <c r="Q14" s="292"/>
      <c r="R14" s="238" t="e">
        <f t="shared" si="0"/>
        <v>#DIV/0!</v>
      </c>
      <c r="S14" s="296"/>
      <c r="T14" s="329"/>
      <c r="U14" s="296"/>
      <c r="V14" s="297"/>
      <c r="W14" s="296"/>
      <c r="X14" s="235"/>
      <c r="Y14" s="235"/>
      <c r="Z14" s="235"/>
      <c r="AA14" s="235"/>
      <c r="AB14" s="240">
        <f t="shared" si="2"/>
        <v>0</v>
      </c>
      <c r="AC14" s="240">
        <f t="shared" si="1"/>
        <v>0</v>
      </c>
      <c r="AD14" s="279"/>
      <c r="AE14" s="280"/>
      <c r="AF14" s="274"/>
      <c r="AG14" s="270"/>
      <c r="AH14" s="425"/>
    </row>
    <row r="15" spans="1:35" s="33" customFormat="1" ht="20.100000000000001" customHeight="1">
      <c r="A15" s="289"/>
      <c r="B15" s="270"/>
      <c r="C15" s="270"/>
      <c r="D15" s="290"/>
      <c r="E15" s="649"/>
      <c r="F15" s="270"/>
      <c r="G15" s="270"/>
      <c r="H15" s="270"/>
      <c r="I15" s="270"/>
      <c r="J15" s="270"/>
      <c r="K15" s="270"/>
      <c r="L15" s="270"/>
      <c r="M15" s="270"/>
      <c r="N15" s="293"/>
      <c r="O15" s="291"/>
      <c r="P15" s="270"/>
      <c r="Q15" s="292"/>
      <c r="R15" s="238" t="e">
        <f t="shared" si="0"/>
        <v>#DIV/0!</v>
      </c>
      <c r="S15" s="296"/>
      <c r="T15" s="329"/>
      <c r="U15" s="296"/>
      <c r="V15" s="297"/>
      <c r="W15" s="296"/>
      <c r="X15" s="235"/>
      <c r="Y15" s="235"/>
      <c r="Z15" s="235"/>
      <c r="AA15" s="235"/>
      <c r="AB15" s="240">
        <f t="shared" si="2"/>
        <v>0</v>
      </c>
      <c r="AC15" s="240">
        <f t="shared" si="1"/>
        <v>0</v>
      </c>
      <c r="AD15" s="279"/>
      <c r="AE15" s="280"/>
      <c r="AF15" s="270"/>
      <c r="AG15" s="270"/>
      <c r="AH15" s="425"/>
    </row>
    <row r="16" spans="1:35" s="33" customFormat="1" ht="20.100000000000001" customHeight="1">
      <c r="A16" s="294"/>
      <c r="B16" s="270"/>
      <c r="C16" s="270"/>
      <c r="D16" s="290"/>
      <c r="E16" s="649"/>
      <c r="F16" s="270"/>
      <c r="G16" s="270"/>
      <c r="H16" s="270"/>
      <c r="I16" s="270"/>
      <c r="J16" s="270"/>
      <c r="K16" s="270"/>
      <c r="L16" s="270"/>
      <c r="M16" s="270"/>
      <c r="N16" s="270"/>
      <c r="O16" s="291"/>
      <c r="P16" s="270"/>
      <c r="Q16" s="292"/>
      <c r="R16" s="238" t="e">
        <f t="shared" si="0"/>
        <v>#DIV/0!</v>
      </c>
      <c r="S16" s="296"/>
      <c r="T16" s="329"/>
      <c r="U16" s="296"/>
      <c r="V16" s="297"/>
      <c r="W16" s="296"/>
      <c r="X16" s="235"/>
      <c r="Y16" s="235"/>
      <c r="Z16" s="235"/>
      <c r="AA16" s="235"/>
      <c r="AB16" s="240">
        <f t="shared" si="2"/>
        <v>0</v>
      </c>
      <c r="AC16" s="240">
        <f t="shared" si="1"/>
        <v>0</v>
      </c>
      <c r="AD16" s="268"/>
      <c r="AE16" s="247"/>
      <c r="AF16" s="235"/>
      <c r="AG16" s="235"/>
      <c r="AH16" s="555"/>
    </row>
    <row r="17" spans="1:38" s="33" customFormat="1" ht="20.100000000000001" customHeight="1">
      <c r="A17" s="289"/>
      <c r="B17" s="270"/>
      <c r="C17" s="270"/>
      <c r="D17" s="290"/>
      <c r="E17" s="649"/>
      <c r="F17" s="270"/>
      <c r="G17" s="270"/>
      <c r="H17" s="270"/>
      <c r="I17" s="270"/>
      <c r="J17" s="270"/>
      <c r="K17" s="270"/>
      <c r="L17" s="270"/>
      <c r="M17" s="270"/>
      <c r="N17" s="270"/>
      <c r="O17" s="291"/>
      <c r="P17" s="270"/>
      <c r="Q17" s="292"/>
      <c r="R17" s="238" t="e">
        <f t="shared" si="0"/>
        <v>#DIV/0!</v>
      </c>
      <c r="S17" s="296"/>
      <c r="T17" s="329"/>
      <c r="U17" s="296"/>
      <c r="V17" s="297"/>
      <c r="W17" s="296"/>
      <c r="X17" s="235"/>
      <c r="Y17" s="235"/>
      <c r="Z17" s="235"/>
      <c r="AA17" s="235"/>
      <c r="AB17" s="240">
        <f t="shared" si="2"/>
        <v>0</v>
      </c>
      <c r="AC17" s="240">
        <f t="shared" si="1"/>
        <v>0</v>
      </c>
      <c r="AD17" s="268"/>
      <c r="AE17" s="247"/>
      <c r="AF17" s="238"/>
      <c r="AG17" s="235"/>
      <c r="AH17" s="555"/>
    </row>
    <row r="18" spans="1:38" s="33" customFormat="1" ht="20.100000000000001" customHeight="1">
      <c r="A18" s="289"/>
      <c r="B18" s="270"/>
      <c r="C18" s="270"/>
      <c r="D18" s="290"/>
      <c r="E18" s="649"/>
      <c r="F18" s="270"/>
      <c r="G18" s="270"/>
      <c r="H18" s="270"/>
      <c r="I18" s="270"/>
      <c r="J18" s="270"/>
      <c r="K18" s="270"/>
      <c r="L18" s="270"/>
      <c r="M18" s="270"/>
      <c r="N18" s="270"/>
      <c r="O18" s="291"/>
      <c r="P18" s="270"/>
      <c r="Q18" s="292"/>
      <c r="R18" s="238" t="e">
        <f t="shared" si="0"/>
        <v>#DIV/0!</v>
      </c>
      <c r="S18" s="296"/>
      <c r="T18" s="329"/>
      <c r="U18" s="296"/>
      <c r="V18" s="296"/>
      <c r="W18" s="296"/>
      <c r="X18" s="235"/>
      <c r="Y18" s="235"/>
      <c r="Z18" s="235"/>
      <c r="AA18" s="235"/>
      <c r="AB18" s="240">
        <f t="shared" si="2"/>
        <v>0</v>
      </c>
      <c r="AC18" s="240">
        <f t="shared" si="1"/>
        <v>0</v>
      </c>
      <c r="AD18" s="268"/>
      <c r="AE18" s="247"/>
      <c r="AF18" s="238"/>
      <c r="AG18" s="235"/>
      <c r="AH18" s="555"/>
    </row>
    <row r="19" spans="1:38" s="33" customFormat="1" ht="20.100000000000001" customHeight="1">
      <c r="A19" s="289"/>
      <c r="B19" s="303"/>
      <c r="C19" s="304"/>
      <c r="D19" s="304"/>
      <c r="E19" s="656"/>
      <c r="F19" s="281"/>
      <c r="G19" s="281"/>
      <c r="H19" s="281"/>
      <c r="I19" s="281"/>
      <c r="J19" s="281"/>
      <c r="K19" s="281"/>
      <c r="L19" s="281"/>
      <c r="M19" s="281"/>
      <c r="N19" s="281"/>
      <c r="O19" s="305"/>
      <c r="P19" s="281"/>
      <c r="Q19" s="306"/>
      <c r="R19" s="238" t="e">
        <f t="shared" si="0"/>
        <v>#DIV/0!</v>
      </c>
      <c r="S19" s="307"/>
      <c r="T19" s="330"/>
      <c r="U19" s="307"/>
      <c r="V19" s="307"/>
      <c r="W19" s="307"/>
      <c r="X19" s="252"/>
      <c r="Y19" s="252"/>
      <c r="Z19" s="252"/>
      <c r="AA19" s="252"/>
      <c r="AB19" s="240">
        <f t="shared" ref="AB19:AB27" si="3">W19*1.3%</f>
        <v>0</v>
      </c>
      <c r="AC19" s="240">
        <f t="shared" si="1"/>
        <v>0</v>
      </c>
      <c r="AD19" s="268"/>
      <c r="AE19" s="247"/>
      <c r="AF19" s="238"/>
      <c r="AG19" s="235"/>
      <c r="AH19" s="555"/>
    </row>
    <row r="20" spans="1:38" s="33" customFormat="1" ht="20.100000000000001" customHeight="1">
      <c r="A20" s="289"/>
      <c r="B20" s="235"/>
      <c r="C20" s="270"/>
      <c r="D20" s="290"/>
      <c r="E20" s="649"/>
      <c r="F20" s="270"/>
      <c r="G20" s="270"/>
      <c r="H20" s="270"/>
      <c r="I20" s="270"/>
      <c r="J20" s="270"/>
      <c r="K20" s="270"/>
      <c r="L20" s="270"/>
      <c r="M20" s="270"/>
      <c r="N20" s="270"/>
      <c r="O20" s="291"/>
      <c r="P20" s="270"/>
      <c r="Q20" s="292"/>
      <c r="R20" s="238" t="e">
        <f t="shared" si="0"/>
        <v>#DIV/0!</v>
      </c>
      <c r="S20" s="296"/>
      <c r="T20" s="329"/>
      <c r="U20" s="296"/>
      <c r="V20" s="296"/>
      <c r="W20" s="296"/>
      <c r="X20" s="235"/>
      <c r="Y20" s="235"/>
      <c r="Z20" s="235"/>
      <c r="AA20" s="235"/>
      <c r="AB20" s="240">
        <f t="shared" si="3"/>
        <v>0</v>
      </c>
      <c r="AC20" s="240">
        <f t="shared" si="1"/>
        <v>0</v>
      </c>
      <c r="AD20" s="268"/>
      <c r="AE20" s="247"/>
      <c r="AF20" s="238"/>
      <c r="AG20" s="235"/>
      <c r="AH20" s="555"/>
    </row>
    <row r="21" spans="1:38" s="33" customFormat="1" ht="20.100000000000001" customHeight="1">
      <c r="A21" s="289"/>
      <c r="B21" s="270"/>
      <c r="C21" s="293"/>
      <c r="D21" s="290"/>
      <c r="E21" s="649"/>
      <c r="F21" s="270"/>
      <c r="G21" s="270"/>
      <c r="H21" s="270"/>
      <c r="I21" s="270"/>
      <c r="J21" s="270"/>
      <c r="K21" s="270"/>
      <c r="L21" s="270"/>
      <c r="M21" s="270"/>
      <c r="N21" s="270"/>
      <c r="O21" s="291"/>
      <c r="P21" s="270"/>
      <c r="Q21" s="292"/>
      <c r="R21" s="238" t="e">
        <f t="shared" si="0"/>
        <v>#DIV/0!</v>
      </c>
      <c r="S21" s="296"/>
      <c r="T21" s="329"/>
      <c r="U21" s="296"/>
      <c r="V21" s="297"/>
      <c r="W21" s="296"/>
      <c r="X21" s="235"/>
      <c r="Y21" s="235"/>
      <c r="Z21" s="235"/>
      <c r="AA21" s="235"/>
      <c r="AB21" s="240">
        <f t="shared" si="3"/>
        <v>0</v>
      </c>
      <c r="AC21" s="240">
        <f t="shared" si="1"/>
        <v>0</v>
      </c>
      <c r="AD21" s="268"/>
      <c r="AE21" s="247"/>
      <c r="AF21" s="238"/>
      <c r="AG21" s="235"/>
      <c r="AH21" s="555"/>
    </row>
    <row r="22" spans="1:38" s="33" customFormat="1" ht="20.100000000000001" customHeight="1">
      <c r="A22" s="294"/>
      <c r="B22" s="270"/>
      <c r="C22" s="270"/>
      <c r="D22" s="290"/>
      <c r="E22" s="649"/>
      <c r="F22" s="270"/>
      <c r="G22" s="270"/>
      <c r="H22" s="270"/>
      <c r="I22" s="270"/>
      <c r="J22" s="270"/>
      <c r="K22" s="295"/>
      <c r="L22" s="270"/>
      <c r="M22" s="270"/>
      <c r="N22" s="270"/>
      <c r="O22" s="291"/>
      <c r="P22" s="270"/>
      <c r="Q22" s="292"/>
      <c r="R22" s="238" t="e">
        <f t="shared" si="0"/>
        <v>#DIV/0!</v>
      </c>
      <c r="S22" s="296"/>
      <c r="T22" s="329"/>
      <c r="U22" s="296"/>
      <c r="V22" s="297"/>
      <c r="W22" s="296"/>
      <c r="X22" s="235"/>
      <c r="Y22" s="235"/>
      <c r="Z22" s="235"/>
      <c r="AA22" s="235"/>
      <c r="AB22" s="240">
        <f t="shared" si="3"/>
        <v>0</v>
      </c>
      <c r="AC22" s="240">
        <f t="shared" si="1"/>
        <v>0</v>
      </c>
      <c r="AD22" s="268"/>
      <c r="AE22" s="247"/>
      <c r="AF22" s="238"/>
      <c r="AG22" s="235"/>
      <c r="AH22" s="555"/>
    </row>
    <row r="23" spans="1:38" s="33" customFormat="1" ht="20.100000000000001" customHeight="1">
      <c r="A23" s="243"/>
      <c r="B23" s="234"/>
      <c r="C23" s="234"/>
      <c r="D23" s="244"/>
      <c r="E23" s="652"/>
      <c r="F23" s="234"/>
      <c r="G23" s="234"/>
      <c r="H23" s="234"/>
      <c r="I23" s="234"/>
      <c r="J23" s="235"/>
      <c r="K23" s="235"/>
      <c r="L23" s="235"/>
      <c r="M23" s="235"/>
      <c r="N23" s="235"/>
      <c r="O23" s="248"/>
      <c r="P23" s="234"/>
      <c r="Q23" s="237"/>
      <c r="R23" s="238" t="e">
        <f t="shared" si="0"/>
        <v>#DIV/0!</v>
      </c>
      <c r="S23" s="237"/>
      <c r="T23" s="328"/>
      <c r="U23" s="237"/>
      <c r="V23" s="237"/>
      <c r="W23" s="237"/>
      <c r="X23" s="234"/>
      <c r="Y23" s="234"/>
      <c r="Z23" s="234"/>
      <c r="AA23" s="234"/>
      <c r="AB23" s="240">
        <f>W23*1.9%</f>
        <v>0</v>
      </c>
      <c r="AC23" s="240">
        <f t="shared" si="1"/>
        <v>0</v>
      </c>
      <c r="AD23" s="268"/>
      <c r="AE23" s="247"/>
      <c r="AF23" s="238"/>
      <c r="AG23" s="235"/>
      <c r="AH23" s="555"/>
    </row>
    <row r="24" spans="1:38" s="33" customFormat="1" ht="20.100000000000001" customHeight="1">
      <c r="A24" s="243"/>
      <c r="B24" s="234"/>
      <c r="C24" s="234"/>
      <c r="D24" s="244"/>
      <c r="E24" s="652"/>
      <c r="F24" s="234"/>
      <c r="G24" s="234"/>
      <c r="H24" s="234"/>
      <c r="I24" s="234"/>
      <c r="J24" s="235"/>
      <c r="K24" s="235"/>
      <c r="L24" s="235"/>
      <c r="M24" s="235"/>
      <c r="N24" s="235"/>
      <c r="O24" s="248"/>
      <c r="P24" s="234"/>
      <c r="Q24" s="237"/>
      <c r="R24" s="238" t="e">
        <f t="shared" si="0"/>
        <v>#DIV/0!</v>
      </c>
      <c r="S24" s="237"/>
      <c r="T24" s="328"/>
      <c r="U24" s="237"/>
      <c r="V24" s="237"/>
      <c r="W24" s="237"/>
      <c r="X24" s="234"/>
      <c r="Y24" s="234"/>
      <c r="Z24" s="234"/>
      <c r="AA24" s="234"/>
      <c r="AB24" s="240">
        <f t="shared" si="3"/>
        <v>0</v>
      </c>
      <c r="AC24" s="240">
        <f t="shared" si="1"/>
        <v>0</v>
      </c>
      <c r="AD24" s="268"/>
      <c r="AE24" s="247"/>
      <c r="AF24" s="238"/>
      <c r="AG24" s="235"/>
      <c r="AH24" s="555"/>
    </row>
    <row r="25" spans="1:38" s="33" customFormat="1" ht="20.100000000000001" customHeight="1">
      <c r="A25" s="243"/>
      <c r="B25" s="234"/>
      <c r="C25" s="234"/>
      <c r="D25" s="244"/>
      <c r="E25" s="652"/>
      <c r="F25" s="234"/>
      <c r="G25" s="234"/>
      <c r="H25" s="234"/>
      <c r="I25" s="234"/>
      <c r="J25" s="235"/>
      <c r="K25" s="235"/>
      <c r="L25" s="235"/>
      <c r="M25" s="235"/>
      <c r="N25" s="235"/>
      <c r="O25" s="248"/>
      <c r="P25" s="234"/>
      <c r="Q25" s="237"/>
      <c r="R25" s="238" t="e">
        <f t="shared" si="0"/>
        <v>#DIV/0!</v>
      </c>
      <c r="S25" s="237"/>
      <c r="T25" s="328"/>
      <c r="U25" s="237"/>
      <c r="V25" s="237"/>
      <c r="W25" s="237"/>
      <c r="X25" s="234"/>
      <c r="Y25" s="234"/>
      <c r="Z25" s="234"/>
      <c r="AA25" s="234"/>
      <c r="AB25" s="240">
        <f t="shared" si="3"/>
        <v>0</v>
      </c>
      <c r="AC25" s="240">
        <f t="shared" si="1"/>
        <v>0</v>
      </c>
      <c r="AD25" s="268"/>
      <c r="AE25" s="247"/>
      <c r="AF25" s="238"/>
      <c r="AG25" s="235"/>
      <c r="AH25" s="555"/>
    </row>
    <row r="26" spans="1:38" s="33" customFormat="1" ht="20.100000000000001" customHeight="1">
      <c r="A26" s="243"/>
      <c r="B26" s="234"/>
      <c r="C26" s="234"/>
      <c r="D26" s="244"/>
      <c r="E26" s="652"/>
      <c r="F26" s="234"/>
      <c r="G26" s="234"/>
      <c r="H26" s="234"/>
      <c r="I26" s="234"/>
      <c r="J26" s="235"/>
      <c r="K26" s="235"/>
      <c r="L26" s="235"/>
      <c r="M26" s="235"/>
      <c r="N26" s="235"/>
      <c r="O26" s="248"/>
      <c r="P26" s="234"/>
      <c r="Q26" s="237"/>
      <c r="R26" s="238" t="e">
        <f t="shared" si="0"/>
        <v>#DIV/0!</v>
      </c>
      <c r="S26" s="237"/>
      <c r="T26" s="328"/>
      <c r="U26" s="237"/>
      <c r="V26" s="237"/>
      <c r="W26" s="237"/>
      <c r="X26" s="234"/>
      <c r="Y26" s="234"/>
      <c r="Z26" s="234"/>
      <c r="AA26" s="234"/>
      <c r="AB26" s="240">
        <f>W26*1.9%</f>
        <v>0</v>
      </c>
      <c r="AC26" s="240">
        <f t="shared" si="1"/>
        <v>0</v>
      </c>
      <c r="AD26" s="268"/>
      <c r="AE26" s="247"/>
      <c r="AF26" s="238"/>
      <c r="AG26" s="235"/>
      <c r="AH26" s="555"/>
    </row>
    <row r="27" spans="1:38" s="33" customFormat="1" ht="20.100000000000001" customHeight="1">
      <c r="A27" s="243"/>
      <c r="B27" s="234"/>
      <c r="C27" s="234"/>
      <c r="D27" s="244"/>
      <c r="E27" s="652"/>
      <c r="F27" s="234"/>
      <c r="G27" s="234"/>
      <c r="H27" s="234"/>
      <c r="I27" s="234"/>
      <c r="J27" s="235"/>
      <c r="K27" s="235"/>
      <c r="L27" s="235"/>
      <c r="M27" s="235"/>
      <c r="N27" s="235"/>
      <c r="O27" s="248"/>
      <c r="P27" s="234"/>
      <c r="Q27" s="237"/>
      <c r="R27" s="238" t="e">
        <f t="shared" si="0"/>
        <v>#DIV/0!</v>
      </c>
      <c r="S27" s="237"/>
      <c r="T27" s="328"/>
      <c r="U27" s="237"/>
      <c r="V27" s="237"/>
      <c r="W27" s="237"/>
      <c r="X27" s="234"/>
      <c r="Y27" s="234"/>
      <c r="Z27" s="234"/>
      <c r="AA27" s="234"/>
      <c r="AB27" s="240">
        <f t="shared" si="3"/>
        <v>0</v>
      </c>
      <c r="AC27" s="240">
        <f t="shared" si="1"/>
        <v>0</v>
      </c>
      <c r="AD27" s="268"/>
      <c r="AE27" s="247"/>
      <c r="AF27" s="238"/>
      <c r="AG27" s="235"/>
      <c r="AH27" s="555"/>
    </row>
    <row r="28" spans="1:38" s="7" customFormat="1" ht="20.100000000000001" customHeight="1">
      <c r="A28" s="109"/>
      <c r="B28" s="110"/>
      <c r="C28" s="125"/>
      <c r="D28" s="111" t="s">
        <v>20</v>
      </c>
      <c r="E28" s="653"/>
      <c r="F28" s="125"/>
      <c r="G28" s="175">
        <f>SUM(G9:G27)</f>
        <v>0</v>
      </c>
      <c r="H28" s="175">
        <f>SUM(H9:H27)</f>
        <v>0</v>
      </c>
      <c r="I28" s="175">
        <f>SUM(I9:I27)</f>
        <v>0</v>
      </c>
      <c r="J28" s="175">
        <f>SUM(J9:J27)</f>
        <v>0</v>
      </c>
      <c r="K28" s="115"/>
      <c r="L28" s="114"/>
      <c r="M28" s="114"/>
      <c r="N28" s="114"/>
      <c r="O28" s="115"/>
      <c r="P28" s="113">
        <f>SUM(P9:P27)</f>
        <v>0</v>
      </c>
      <c r="Q28" s="116">
        <f>SUM(Q9:Q27)</f>
        <v>0</v>
      </c>
      <c r="R28" s="117"/>
      <c r="S28" s="118">
        <f>SUM(S9:S27)</f>
        <v>0</v>
      </c>
      <c r="T28" s="331"/>
      <c r="U28" s="118"/>
      <c r="V28" s="119">
        <f>SUM(V9:V27)</f>
        <v>0</v>
      </c>
      <c r="W28" s="120">
        <f>SUM(W9:W27)</f>
        <v>0</v>
      </c>
      <c r="X28" s="112"/>
      <c r="Y28" s="112"/>
      <c r="Z28" s="121"/>
      <c r="AA28" s="121"/>
      <c r="AB28" s="122">
        <f>SUM(AB9:AB27)</f>
        <v>0</v>
      </c>
      <c r="AC28" s="122">
        <f>SUM(AC9:AC27)</f>
        <v>0</v>
      </c>
      <c r="AD28" s="122">
        <f>SUM(AD9:AD27)</f>
        <v>0</v>
      </c>
      <c r="AE28" s="123"/>
      <c r="AF28" s="124"/>
      <c r="AG28" s="112"/>
      <c r="AH28" s="160"/>
      <c r="AI28" s="14"/>
      <c r="AJ28" s="14"/>
    </row>
    <row r="29" spans="1:38" s="162" customFormat="1" ht="20.100000000000001" customHeight="1">
      <c r="A29" s="180"/>
      <c r="B29" s="181"/>
      <c r="C29" s="182"/>
      <c r="D29" s="183"/>
      <c r="E29" s="183"/>
      <c r="F29" s="182"/>
      <c r="G29" s="184"/>
      <c r="H29" s="184"/>
      <c r="I29" s="184"/>
      <c r="J29" s="184"/>
      <c r="K29" s="185"/>
      <c r="L29" s="186"/>
      <c r="M29" s="186"/>
      <c r="N29" s="186"/>
      <c r="O29" s="185"/>
      <c r="P29" s="187"/>
      <c r="Q29" s="188"/>
      <c r="R29" s="189"/>
      <c r="S29" s="190"/>
      <c r="T29" s="190"/>
      <c r="U29" s="190"/>
      <c r="V29" s="191"/>
      <c r="W29" s="192"/>
      <c r="X29" s="193"/>
      <c r="Y29" s="193"/>
      <c r="Z29" s="194"/>
      <c r="AA29" s="194"/>
      <c r="AB29" s="195"/>
      <c r="AC29" s="195"/>
      <c r="AD29" s="195"/>
      <c r="AE29" s="196"/>
      <c r="AF29" s="197"/>
      <c r="AG29" s="193"/>
      <c r="AH29" s="182"/>
      <c r="AI29" s="182"/>
      <c r="AJ29" s="198"/>
      <c r="AK29" s="199"/>
      <c r="AL29" s="199"/>
    </row>
    <row r="30" spans="1:38" ht="20.100000000000001" customHeight="1">
      <c r="A30" s="30" t="s">
        <v>68</v>
      </c>
      <c r="C30" s="130"/>
      <c r="D30" s="126"/>
      <c r="E30" s="126"/>
      <c r="F30" s="130"/>
      <c r="G30" s="108"/>
      <c r="H30" s="108"/>
      <c r="I30" s="130"/>
      <c r="K30" s="129"/>
      <c r="L30" s="127"/>
      <c r="M30" s="128"/>
      <c r="N30" s="128"/>
      <c r="O30" s="129"/>
      <c r="P30" s="130" t="s">
        <v>21</v>
      </c>
      <c r="Q30" s="131"/>
      <c r="R30" s="94"/>
      <c r="S30" s="132"/>
      <c r="T30" s="132"/>
      <c r="U30" s="132"/>
      <c r="V30" s="133"/>
      <c r="W30" s="134"/>
      <c r="X30" s="31"/>
      <c r="Y30" s="31"/>
      <c r="Z30" s="133"/>
      <c r="AA30" s="133"/>
      <c r="AB30" s="76"/>
      <c r="AC30" s="76"/>
      <c r="AF30" s="136"/>
      <c r="AG30" s="31"/>
      <c r="AJ30" s="2"/>
    </row>
    <row r="31" spans="1:38" s="205" customFormat="1" ht="17.100000000000001" customHeight="1">
      <c r="A31" s="987" t="s">
        <v>1</v>
      </c>
      <c r="B31" s="987" t="s">
        <v>2</v>
      </c>
      <c r="C31" s="971" t="s">
        <v>620</v>
      </c>
      <c r="D31" s="989" t="s">
        <v>3</v>
      </c>
      <c r="E31" s="995" t="s">
        <v>794</v>
      </c>
      <c r="F31" s="971" t="s">
        <v>17</v>
      </c>
      <c r="G31" s="971" t="s">
        <v>4</v>
      </c>
      <c r="H31" s="971" t="s">
        <v>5</v>
      </c>
      <c r="I31" s="971" t="s">
        <v>621</v>
      </c>
      <c r="J31" s="971" t="s">
        <v>622</v>
      </c>
      <c r="K31" s="971" t="s">
        <v>614</v>
      </c>
      <c r="L31" s="985" t="s">
        <v>6</v>
      </c>
      <c r="M31" s="987" t="s">
        <v>613</v>
      </c>
      <c r="N31" s="987" t="s">
        <v>612</v>
      </c>
      <c r="O31" s="989" t="s">
        <v>7</v>
      </c>
      <c r="P31" s="985" t="s">
        <v>8</v>
      </c>
      <c r="Q31" s="991" t="s">
        <v>9</v>
      </c>
      <c r="R31" s="993" t="s">
        <v>10</v>
      </c>
      <c r="S31" s="983" t="s">
        <v>11</v>
      </c>
      <c r="T31" s="971" t="s">
        <v>625</v>
      </c>
      <c r="U31" s="974" t="s">
        <v>12</v>
      </c>
      <c r="V31" s="974"/>
      <c r="W31" s="974"/>
      <c r="X31" s="974"/>
      <c r="Y31" s="974"/>
      <c r="Z31" s="974"/>
      <c r="AA31" s="974"/>
      <c r="AB31" s="974"/>
      <c r="AC31" s="975" t="s">
        <v>44</v>
      </c>
      <c r="AD31" s="977" t="s">
        <v>617</v>
      </c>
      <c r="AE31" s="979" t="s">
        <v>618</v>
      </c>
      <c r="AF31" s="971" t="s">
        <v>610</v>
      </c>
      <c r="AG31" s="981" t="s">
        <v>619</v>
      </c>
      <c r="AH31" s="973" t="s">
        <v>752</v>
      </c>
      <c r="AI31" s="971" t="s">
        <v>623</v>
      </c>
    </row>
    <row r="32" spans="1:38" s="205" customFormat="1" ht="17.100000000000001" customHeight="1">
      <c r="A32" s="988"/>
      <c r="B32" s="988"/>
      <c r="C32" s="972"/>
      <c r="D32" s="990"/>
      <c r="E32" s="995"/>
      <c r="F32" s="972"/>
      <c r="G32" s="972"/>
      <c r="H32" s="972"/>
      <c r="I32" s="972"/>
      <c r="J32" s="972"/>
      <c r="K32" s="972"/>
      <c r="L32" s="986"/>
      <c r="M32" s="988"/>
      <c r="N32" s="988"/>
      <c r="O32" s="990"/>
      <c r="P32" s="986"/>
      <c r="Q32" s="992"/>
      <c r="R32" s="994"/>
      <c r="S32" s="984"/>
      <c r="T32" s="972"/>
      <c r="U32" s="206" t="s">
        <v>624</v>
      </c>
      <c r="V32" s="207" t="s">
        <v>18</v>
      </c>
      <c r="W32" s="208" t="s">
        <v>19</v>
      </c>
      <c r="X32" s="207" t="s">
        <v>13</v>
      </c>
      <c r="Y32" s="207" t="s">
        <v>615</v>
      </c>
      <c r="Z32" s="207" t="s">
        <v>14</v>
      </c>
      <c r="AA32" s="207" t="s">
        <v>616</v>
      </c>
      <c r="AB32" s="209" t="s">
        <v>15</v>
      </c>
      <c r="AC32" s="976"/>
      <c r="AD32" s="978"/>
      <c r="AE32" s="980"/>
      <c r="AF32" s="972"/>
      <c r="AG32" s="982"/>
      <c r="AH32" s="972"/>
      <c r="AI32" s="972"/>
    </row>
    <row r="33" spans="1:38" s="258" customFormat="1" ht="20.100000000000001" customHeight="1">
      <c r="A33" s="718"/>
      <c r="B33" s="729"/>
      <c r="C33" s="729"/>
      <c r="D33" s="732"/>
      <c r="E33" s="729"/>
      <c r="F33" s="721"/>
      <c r="G33" s="729"/>
      <c r="H33" s="729"/>
      <c r="I33" s="729"/>
      <c r="J33" s="729"/>
      <c r="K33" s="737"/>
      <c r="L33" s="729"/>
      <c r="M33" s="729"/>
      <c r="N33" s="729"/>
      <c r="O33" s="730"/>
      <c r="P33" s="729"/>
      <c r="Q33" s="731"/>
      <c r="R33" s="238" t="e">
        <f t="shared" ref="R33" si="4">(Q33-S33)/Q33*100</f>
        <v>#DIV/0!</v>
      </c>
      <c r="S33" s="731"/>
      <c r="T33" s="729"/>
      <c r="U33" s="731"/>
      <c r="V33" s="755"/>
      <c r="W33" s="731"/>
      <c r="X33" s="729"/>
      <c r="Y33" s="729"/>
      <c r="Z33" s="729"/>
      <c r="AA33" s="729"/>
      <c r="AB33" s="247">
        <f>W33*0.15%</f>
        <v>0</v>
      </c>
      <c r="AC33" s="247">
        <f t="shared" ref="AC33" si="5">(S33/1.11)</f>
        <v>0</v>
      </c>
      <c r="AD33" s="763"/>
      <c r="AE33" s="764"/>
      <c r="AF33" s="729"/>
      <c r="AG33" s="729"/>
      <c r="AH33" s="729"/>
      <c r="AI33" s="753"/>
      <c r="AJ33" s="754"/>
    </row>
    <row r="34" spans="1:38" s="33" customFormat="1" ht="20.100000000000001" customHeight="1">
      <c r="A34" s="718"/>
      <c r="B34" s="737"/>
      <c r="C34" s="737"/>
      <c r="D34" s="738"/>
      <c r="E34" s="725"/>
      <c r="F34" s="721"/>
      <c r="G34" s="737"/>
      <c r="H34" s="737"/>
      <c r="I34" s="737"/>
      <c r="J34" s="737"/>
      <c r="K34" s="721"/>
      <c r="L34" s="737"/>
      <c r="M34" s="721"/>
      <c r="N34" s="737"/>
      <c r="O34" s="739"/>
      <c r="P34" s="737"/>
      <c r="Q34" s="740"/>
      <c r="R34" s="238" t="e">
        <f t="shared" ref="R34:R38" si="6">(Q34-S34)/Q34*100</f>
        <v>#DIV/0!</v>
      </c>
      <c r="S34" s="740"/>
      <c r="T34" s="742"/>
      <c r="U34" s="740"/>
      <c r="V34" s="756"/>
      <c r="W34" s="740"/>
      <c r="X34" s="737"/>
      <c r="Y34" s="737"/>
      <c r="Z34" s="737"/>
      <c r="AA34" s="568"/>
      <c r="AB34" s="247">
        <f>W34*1.4%</f>
        <v>0</v>
      </c>
      <c r="AC34" s="247">
        <f t="shared" ref="AC34:AC38" si="7">(S34/1.11)</f>
        <v>0</v>
      </c>
      <c r="AD34" s="765"/>
      <c r="AE34" s="766"/>
      <c r="AF34" s="737"/>
      <c r="AG34" s="737"/>
      <c r="AH34" s="263"/>
      <c r="AI34" s="743"/>
      <c r="AJ34" s="242"/>
    </row>
    <row r="35" spans="1:38" s="33" customFormat="1" ht="20.100000000000001" customHeight="1">
      <c r="A35" s="718"/>
      <c r="B35" s="568"/>
      <c r="C35" s="753"/>
      <c r="D35" s="732"/>
      <c r="E35" s="729"/>
      <c r="F35" s="729"/>
      <c r="G35" s="729"/>
      <c r="H35" s="729"/>
      <c r="I35" s="729"/>
      <c r="J35" s="729"/>
      <c r="K35" s="721"/>
      <c r="L35" s="729"/>
      <c r="M35" s="729"/>
      <c r="N35" s="729"/>
      <c r="O35" s="730"/>
      <c r="P35" s="729"/>
      <c r="Q35" s="731"/>
      <c r="R35" s="238" t="e">
        <f t="shared" si="6"/>
        <v>#DIV/0!</v>
      </c>
      <c r="S35" s="731"/>
      <c r="T35" s="729"/>
      <c r="U35" s="731"/>
      <c r="V35" s="755"/>
      <c r="W35" s="731"/>
      <c r="X35" s="729"/>
      <c r="Y35" s="729"/>
      <c r="Z35" s="729"/>
      <c r="AA35" s="729"/>
      <c r="AB35" s="247">
        <f>W35*1.25%</f>
        <v>0</v>
      </c>
      <c r="AC35" s="247">
        <f t="shared" si="7"/>
        <v>0</v>
      </c>
      <c r="AD35" s="325"/>
      <c r="AE35" s="280"/>
      <c r="AF35" s="270"/>
      <c r="AG35" s="270"/>
      <c r="AH35" s="263"/>
      <c r="AI35" s="743"/>
      <c r="AJ35" s="242"/>
    </row>
    <row r="36" spans="1:38" s="33" customFormat="1" ht="20.100000000000001" customHeight="1">
      <c r="A36" s="718"/>
      <c r="B36" s="729"/>
      <c r="C36" s="729"/>
      <c r="D36" s="732"/>
      <c r="E36" s="729"/>
      <c r="F36" s="729"/>
      <c r="G36" s="729"/>
      <c r="H36" s="729"/>
      <c r="I36" s="729"/>
      <c r="J36" s="729"/>
      <c r="K36" s="721"/>
      <c r="L36" s="729"/>
      <c r="M36" s="729"/>
      <c r="N36" s="729"/>
      <c r="O36" s="730"/>
      <c r="P36" s="729"/>
      <c r="Q36" s="731"/>
      <c r="R36" s="238" t="e">
        <f t="shared" si="6"/>
        <v>#DIV/0!</v>
      </c>
      <c r="S36" s="731"/>
      <c r="T36" s="729"/>
      <c r="U36" s="731"/>
      <c r="V36" s="755"/>
      <c r="W36" s="731"/>
      <c r="X36" s="729"/>
      <c r="Y36" s="729"/>
      <c r="Z36" s="729"/>
      <c r="AA36" s="729"/>
      <c r="AB36" s="247">
        <f t="shared" ref="AB36:AB37" si="8">W36*1.5%</f>
        <v>0</v>
      </c>
      <c r="AC36" s="247">
        <f t="shared" si="7"/>
        <v>0</v>
      </c>
      <c r="AD36" s="664"/>
      <c r="AE36" s="665"/>
      <c r="AF36" s="663"/>
      <c r="AG36" s="663"/>
      <c r="AH36" s="263"/>
      <c r="AI36" s="683"/>
      <c r="AJ36" s="269"/>
    </row>
    <row r="37" spans="1:38" s="33" customFormat="1" ht="20.100000000000001" customHeight="1">
      <c r="A37" s="824"/>
      <c r="B37" s="729"/>
      <c r="C37" s="729"/>
      <c r="D37" s="732"/>
      <c r="E37" s="729"/>
      <c r="F37" s="729"/>
      <c r="G37" s="729"/>
      <c r="H37" s="729"/>
      <c r="I37" s="729"/>
      <c r="J37" s="729"/>
      <c r="K37" s="721"/>
      <c r="L37" s="729"/>
      <c r="M37" s="729"/>
      <c r="N37" s="729"/>
      <c r="O37" s="730"/>
      <c r="P37" s="729"/>
      <c r="Q37" s="731"/>
      <c r="R37" s="238" t="e">
        <f t="shared" si="6"/>
        <v>#DIV/0!</v>
      </c>
      <c r="S37" s="731"/>
      <c r="T37" s="729"/>
      <c r="U37" s="731"/>
      <c r="V37" s="755"/>
      <c r="W37" s="731"/>
      <c r="X37" s="729"/>
      <c r="Y37" s="729"/>
      <c r="Z37" s="729"/>
      <c r="AA37" s="729"/>
      <c r="AB37" s="247">
        <f t="shared" si="8"/>
        <v>0</v>
      </c>
      <c r="AC37" s="247">
        <f t="shared" si="7"/>
        <v>0</v>
      </c>
      <c r="AD37" s="664"/>
      <c r="AE37" s="665"/>
      <c r="AF37" s="663"/>
      <c r="AG37" s="663"/>
      <c r="AH37" s="263"/>
      <c r="AI37" s="293"/>
      <c r="AJ37" s="270"/>
    </row>
    <row r="38" spans="1:38" s="258" customFormat="1" ht="20.100000000000001" customHeight="1">
      <c r="A38" s="751"/>
      <c r="B38" s="729"/>
      <c r="C38" s="729"/>
      <c r="D38" s="732"/>
      <c r="E38" s="729"/>
      <c r="F38" s="729"/>
      <c r="G38" s="729"/>
      <c r="H38" s="729"/>
      <c r="I38" s="729"/>
      <c r="J38" s="729"/>
      <c r="K38" s="721"/>
      <c r="L38" s="729"/>
      <c r="M38" s="729"/>
      <c r="N38" s="729"/>
      <c r="O38" s="730"/>
      <c r="P38" s="729"/>
      <c r="Q38" s="731"/>
      <c r="R38" s="238" t="e">
        <f t="shared" si="6"/>
        <v>#DIV/0!</v>
      </c>
      <c r="S38" s="731"/>
      <c r="T38" s="729"/>
      <c r="U38" s="731"/>
      <c r="V38" s="755"/>
      <c r="W38" s="731"/>
      <c r="X38" s="729"/>
      <c r="Y38" s="729"/>
      <c r="Z38" s="729"/>
      <c r="AA38" s="729"/>
      <c r="AB38" s="247">
        <f>W38*1.3%</f>
        <v>0</v>
      </c>
      <c r="AC38" s="247">
        <f t="shared" si="7"/>
        <v>0</v>
      </c>
      <c r="AD38" s="763"/>
      <c r="AE38" s="764"/>
      <c r="AF38" s="729"/>
      <c r="AG38" s="729"/>
      <c r="AH38" s="729"/>
      <c r="AI38" s="743"/>
      <c r="AJ38" s="754"/>
    </row>
    <row r="39" spans="1:38" s="7" customFormat="1" ht="20.100000000000001" customHeight="1">
      <c r="A39" s="824"/>
      <c r="B39" s="729"/>
      <c r="C39" s="729"/>
      <c r="D39" s="732"/>
      <c r="E39" s="729"/>
      <c r="F39" s="729"/>
      <c r="G39" s="729"/>
      <c r="H39" s="729"/>
      <c r="I39" s="729"/>
      <c r="J39" s="729"/>
      <c r="K39" s="729"/>
      <c r="L39" s="729"/>
      <c r="M39" s="729"/>
      <c r="N39" s="729"/>
      <c r="O39" s="730"/>
      <c r="P39" s="729"/>
      <c r="Q39" s="731"/>
      <c r="R39" s="238" t="e">
        <f t="shared" ref="R39" si="9">(Q39-S39)/Q39*100</f>
        <v>#DIV/0!</v>
      </c>
      <c r="S39" s="731"/>
      <c r="T39" s="729"/>
      <c r="U39" s="731"/>
      <c r="V39" s="755"/>
      <c r="W39" s="731"/>
      <c r="X39" s="729"/>
      <c r="Y39" s="729"/>
      <c r="Z39" s="729"/>
      <c r="AA39" s="729"/>
      <c r="AB39" s="247">
        <f t="shared" ref="AB39" si="10">W39*1.5%</f>
        <v>0</v>
      </c>
      <c r="AC39" s="247">
        <f t="shared" ref="AC39" si="11">(S39/1.11)</f>
        <v>0</v>
      </c>
      <c r="AD39" s="664"/>
      <c r="AE39" s="665"/>
      <c r="AF39" s="663"/>
      <c r="AG39" s="663"/>
      <c r="AH39" s="663"/>
      <c r="AI39" s="270"/>
      <c r="AJ39" s="242"/>
      <c r="AK39" s="14"/>
      <c r="AL39" s="14"/>
    </row>
    <row r="40" spans="1:38" s="7" customFormat="1" ht="20.100000000000001" customHeight="1">
      <c r="A40" s="581"/>
      <c r="B40" s="310"/>
      <c r="C40" s="310"/>
      <c r="D40" s="320"/>
      <c r="E40" s="649"/>
      <c r="F40" s="310"/>
      <c r="G40" s="310"/>
      <c r="H40" s="310"/>
      <c r="I40" s="310"/>
      <c r="J40" s="310"/>
      <c r="K40" s="310"/>
      <c r="L40" s="310"/>
      <c r="M40" s="310"/>
      <c r="N40" s="310"/>
      <c r="O40" s="377"/>
      <c r="P40" s="310"/>
      <c r="Q40" s="339"/>
      <c r="R40" s="238" t="e">
        <f t="shared" ref="R40:R45" si="12">(Q40-S40)/Q40*100</f>
        <v>#DIV/0!</v>
      </c>
      <c r="S40" s="339"/>
      <c r="T40" s="568"/>
      <c r="U40" s="339"/>
      <c r="V40" s="374"/>
      <c r="W40" s="339"/>
      <c r="X40" s="310"/>
      <c r="Y40" s="310"/>
      <c r="Z40" s="310"/>
      <c r="AA40" s="310"/>
      <c r="AB40" s="247">
        <f t="shared" ref="AB40" si="13">W40*1.5%</f>
        <v>0</v>
      </c>
      <c r="AC40" s="247">
        <f t="shared" ref="AC40" si="14">(S40/1.11)</f>
        <v>0</v>
      </c>
      <c r="AD40" s="325"/>
      <c r="AE40" s="326"/>
      <c r="AF40" s="310"/>
      <c r="AG40" s="310"/>
      <c r="AH40" s="322"/>
      <c r="AI40" s="310"/>
      <c r="AJ40" s="242"/>
      <c r="AK40" s="14"/>
      <c r="AL40" s="14"/>
    </row>
    <row r="41" spans="1:38" s="7" customFormat="1" ht="20.100000000000001" customHeight="1">
      <c r="A41" s="704"/>
      <c r="B41" s="667"/>
      <c r="C41" s="667"/>
      <c r="D41" s="649"/>
      <c r="E41" s="649"/>
      <c r="F41" s="667"/>
      <c r="G41" s="667"/>
      <c r="H41" s="667"/>
      <c r="I41" s="667"/>
      <c r="J41" s="667"/>
      <c r="K41" s="667"/>
      <c r="L41" s="667"/>
      <c r="M41" s="667"/>
      <c r="N41" s="667"/>
      <c r="O41" s="705"/>
      <c r="P41" s="667"/>
      <c r="Q41" s="670"/>
      <c r="R41" s="238" t="e">
        <f t="shared" si="12"/>
        <v>#DIV/0!</v>
      </c>
      <c r="S41" s="670"/>
      <c r="T41" s="725"/>
      <c r="U41" s="670"/>
      <c r="V41" s="671"/>
      <c r="W41" s="670"/>
      <c r="X41" s="667"/>
      <c r="Y41" s="667"/>
      <c r="Z41" s="667"/>
      <c r="AA41" s="667"/>
      <c r="AB41" s="247">
        <f t="shared" ref="AB41:AB45" si="15">W41*1.5%</f>
        <v>0</v>
      </c>
      <c r="AC41" s="247">
        <f t="shared" ref="AC41:AC45" si="16">(S41/1.11)</f>
        <v>0</v>
      </c>
      <c r="AD41" s="689"/>
      <c r="AE41" s="672"/>
      <c r="AF41" s="667"/>
      <c r="AG41" s="667"/>
      <c r="AH41" s="706"/>
      <c r="AI41" s="667"/>
      <c r="AJ41" s="242"/>
      <c r="AK41" s="14"/>
      <c r="AL41" s="14"/>
    </row>
    <row r="42" spans="1:38" s="7" customFormat="1" ht="20.100000000000001" customHeight="1">
      <c r="A42" s="704"/>
      <c r="B42" s="667"/>
      <c r="C42" s="667"/>
      <c r="D42" s="649"/>
      <c r="E42" s="649"/>
      <c r="F42" s="667"/>
      <c r="G42" s="667"/>
      <c r="H42" s="667"/>
      <c r="I42" s="667"/>
      <c r="J42" s="667"/>
      <c r="K42" s="667"/>
      <c r="L42" s="667"/>
      <c r="M42" s="667"/>
      <c r="N42" s="667"/>
      <c r="O42" s="705"/>
      <c r="P42" s="667"/>
      <c r="Q42" s="670"/>
      <c r="R42" s="238" t="e">
        <f t="shared" si="12"/>
        <v>#DIV/0!</v>
      </c>
      <c r="S42" s="670"/>
      <c r="T42" s="667"/>
      <c r="U42" s="670"/>
      <c r="V42" s="671"/>
      <c r="W42" s="670"/>
      <c r="X42" s="667"/>
      <c r="Y42" s="667"/>
      <c r="Z42" s="667"/>
      <c r="AA42" s="667"/>
      <c r="AB42" s="247">
        <f t="shared" si="15"/>
        <v>0</v>
      </c>
      <c r="AC42" s="247">
        <f t="shared" si="16"/>
        <v>0</v>
      </c>
      <c r="AD42" s="689"/>
      <c r="AE42" s="672"/>
      <c r="AF42" s="667"/>
      <c r="AG42" s="667"/>
      <c r="AH42" s="706"/>
      <c r="AI42" s="667"/>
      <c r="AJ42" s="242"/>
      <c r="AK42" s="14"/>
      <c r="AL42" s="14"/>
    </row>
    <row r="43" spans="1:38" s="7" customFormat="1" ht="20.100000000000001" customHeight="1">
      <c r="A43" s="704"/>
      <c r="B43" s="667"/>
      <c r="C43" s="667"/>
      <c r="D43" s="649"/>
      <c r="E43" s="649"/>
      <c r="F43" s="667"/>
      <c r="G43" s="667"/>
      <c r="H43" s="667"/>
      <c r="I43" s="667"/>
      <c r="J43" s="667"/>
      <c r="K43" s="667"/>
      <c r="L43" s="667"/>
      <c r="M43" s="667"/>
      <c r="N43" s="667"/>
      <c r="O43" s="705"/>
      <c r="P43" s="667"/>
      <c r="Q43" s="670"/>
      <c r="R43" s="238" t="e">
        <f t="shared" si="12"/>
        <v>#DIV/0!</v>
      </c>
      <c r="S43" s="670"/>
      <c r="T43" s="667"/>
      <c r="U43" s="670"/>
      <c r="V43" s="671"/>
      <c r="W43" s="670"/>
      <c r="X43" s="667"/>
      <c r="Y43" s="667"/>
      <c r="Z43" s="667"/>
      <c r="AA43" s="667"/>
      <c r="AB43" s="247">
        <f t="shared" si="15"/>
        <v>0</v>
      </c>
      <c r="AC43" s="247">
        <f t="shared" si="16"/>
        <v>0</v>
      </c>
      <c r="AD43" s="689"/>
      <c r="AE43" s="672"/>
      <c r="AF43" s="667"/>
      <c r="AG43" s="667"/>
      <c r="AH43" s="706"/>
      <c r="AI43" s="667"/>
      <c r="AJ43" s="242"/>
      <c r="AK43" s="14"/>
      <c r="AL43" s="14"/>
    </row>
    <row r="44" spans="1:38" s="7" customFormat="1" ht="20.100000000000001" customHeight="1">
      <c r="A44" s="704"/>
      <c r="B44" s="667"/>
      <c r="C44" s="667"/>
      <c r="D44" s="649"/>
      <c r="E44" s="649"/>
      <c r="F44" s="667"/>
      <c r="G44" s="667"/>
      <c r="H44" s="667"/>
      <c r="I44" s="667"/>
      <c r="J44" s="667"/>
      <c r="K44" s="667"/>
      <c r="L44" s="667"/>
      <c r="M44" s="667"/>
      <c r="N44" s="667"/>
      <c r="O44" s="705"/>
      <c r="P44" s="667"/>
      <c r="Q44" s="670"/>
      <c r="R44" s="238" t="e">
        <f t="shared" si="12"/>
        <v>#DIV/0!</v>
      </c>
      <c r="S44" s="670"/>
      <c r="T44" s="667"/>
      <c r="U44" s="670"/>
      <c r="V44" s="671"/>
      <c r="W44" s="670"/>
      <c r="X44" s="667"/>
      <c r="Y44" s="667"/>
      <c r="Z44" s="667"/>
      <c r="AA44" s="667"/>
      <c r="AB44" s="247">
        <f t="shared" si="15"/>
        <v>0</v>
      </c>
      <c r="AC44" s="247">
        <f t="shared" si="16"/>
        <v>0</v>
      </c>
      <c r="AD44" s="689"/>
      <c r="AE44" s="672"/>
      <c r="AF44" s="667"/>
      <c r="AG44" s="667"/>
      <c r="AH44" s="706"/>
      <c r="AI44" s="667"/>
      <c r="AJ44" s="242"/>
      <c r="AK44" s="14"/>
      <c r="AL44" s="14"/>
    </row>
    <row r="45" spans="1:38" s="242" customFormat="1" ht="20.100000000000001" customHeight="1">
      <c r="A45" s="301"/>
      <c r="B45" s="271"/>
      <c r="C45" s="271"/>
      <c r="D45" s="272"/>
      <c r="E45" s="657"/>
      <c r="F45" s="271"/>
      <c r="G45" s="271"/>
      <c r="H45" s="271"/>
      <c r="I45" s="271"/>
      <c r="J45" s="270"/>
      <c r="K45" s="270"/>
      <c r="L45" s="270"/>
      <c r="M45" s="270"/>
      <c r="N45" s="270"/>
      <c r="O45" s="580"/>
      <c r="P45" s="271"/>
      <c r="Q45" s="273"/>
      <c r="R45" s="238" t="e">
        <f t="shared" si="12"/>
        <v>#DIV/0!</v>
      </c>
      <c r="S45" s="237"/>
      <c r="T45" s="328"/>
      <c r="U45" s="237"/>
      <c r="V45" s="239"/>
      <c r="W45" s="237"/>
      <c r="X45" s="234"/>
      <c r="Y45" s="234"/>
      <c r="Z45" s="234"/>
      <c r="AA45" s="234"/>
      <c r="AB45" s="247">
        <f t="shared" si="15"/>
        <v>0</v>
      </c>
      <c r="AC45" s="247">
        <f t="shared" si="16"/>
        <v>0</v>
      </c>
      <c r="AD45" s="267"/>
      <c r="AE45" s="240"/>
      <c r="AF45" s="235"/>
      <c r="AG45" s="235"/>
      <c r="AH45" s="241"/>
      <c r="AI45" s="235"/>
    </row>
    <row r="46" spans="1:38" s="30" customFormat="1" ht="20.100000000000001" customHeight="1">
      <c r="A46" s="109"/>
      <c r="B46" s="110"/>
      <c r="C46" s="113"/>
      <c r="D46" s="111" t="s">
        <v>20</v>
      </c>
      <c r="E46" s="653"/>
      <c r="F46" s="113"/>
      <c r="G46" s="112">
        <f>SUM(G33:G45)</f>
        <v>0</v>
      </c>
      <c r="H46" s="112">
        <f>SUM(H33:H45)</f>
        <v>0</v>
      </c>
      <c r="I46" s="112">
        <f>SUM(I33:I45)</f>
        <v>0</v>
      </c>
      <c r="J46" s="112">
        <f>SUM(J33:J45)</f>
        <v>0</v>
      </c>
      <c r="K46" s="115"/>
      <c r="L46" s="114"/>
      <c r="M46" s="114"/>
      <c r="N46" s="114"/>
      <c r="O46" s="115"/>
      <c r="P46" s="112">
        <f>SUM(P33:P45)</f>
        <v>0</v>
      </c>
      <c r="Q46" s="112">
        <f>SUM(Q33:Q45)</f>
        <v>0</v>
      </c>
      <c r="R46" s="286"/>
      <c r="S46" s="287">
        <f>SUM(S33:S45)</f>
        <v>0</v>
      </c>
      <c r="T46" s="332"/>
      <c r="U46" s="118"/>
      <c r="V46" s="119">
        <f>SUM(V40:V45)</f>
        <v>0</v>
      </c>
      <c r="W46" s="120">
        <f>SUM(W40:W45)</f>
        <v>0</v>
      </c>
      <c r="X46" s="112"/>
      <c r="Y46" s="112"/>
      <c r="Z46" s="121"/>
      <c r="AA46" s="121"/>
      <c r="AB46" s="287">
        <f>SUM(AB33:AB45)</f>
        <v>0</v>
      </c>
      <c r="AC46" s="287">
        <f>SUM(AC33:AC45)</f>
        <v>0</v>
      </c>
      <c r="AD46" s="122">
        <f>SUM(AD33:AD45)</f>
        <v>0</v>
      </c>
      <c r="AE46" s="123"/>
      <c r="AF46" s="124"/>
      <c r="AG46" s="112"/>
      <c r="AH46" s="288"/>
    </row>
    <row r="47" spans="1:38" ht="20.100000000000001" customHeight="1"/>
    <row r="48" spans="1:38" ht="20.100000000000001" customHeight="1"/>
    <row r="49" spans="3:5" ht="20.100000000000001" customHeight="1">
      <c r="C49" s="210" t="s">
        <v>70</v>
      </c>
      <c r="D49" s="211">
        <f>DS!AD325</f>
        <v>9582563063.0630627</v>
      </c>
      <c r="E49" s="658"/>
    </row>
    <row r="50" spans="3:5" ht="20.100000000000001" customHeight="1">
      <c r="C50" s="210" t="s">
        <v>71</v>
      </c>
      <c r="D50" s="212">
        <f>D49-AD38+AD28</f>
        <v>9582563063.0630627</v>
      </c>
      <c r="E50" s="659"/>
    </row>
    <row r="51" spans="3:5" ht="20.100000000000001" customHeight="1">
      <c r="C51" s="210" t="s">
        <v>72</v>
      </c>
      <c r="D51" s="212">
        <f>DS!AD322</f>
        <v>13500000000</v>
      </c>
      <c r="E51" s="659"/>
    </row>
    <row r="52" spans="3:5" ht="20.100000000000001" customHeight="1">
      <c r="C52" s="210" t="s">
        <v>73</v>
      </c>
      <c r="D52" s="213">
        <f>(D50/D51)*100%</f>
        <v>0.70981948615281942</v>
      </c>
      <c r="E52" s="660"/>
    </row>
    <row r="53" spans="3:5" ht="20.100000000000001" customHeight="1"/>
    <row r="54" spans="3:5" ht="20.100000000000001" customHeight="1"/>
    <row r="55" spans="3:5" ht="20.100000000000001" customHeight="1"/>
    <row r="56" spans="3:5" ht="20.100000000000001" customHeight="1"/>
    <row r="57" spans="3:5" ht="20.100000000000001" customHeight="1"/>
    <row r="58" spans="3:5" ht="20.100000000000001" customHeight="1"/>
    <row r="59" spans="3:5" ht="20.100000000000001" customHeight="1"/>
    <row r="60" spans="3:5" ht="20.100000000000001" customHeight="1"/>
    <row r="61" spans="3:5" ht="20.100000000000001" customHeight="1"/>
    <row r="62" spans="3:5" ht="20.100000000000001" customHeight="1"/>
    <row r="63" spans="3:5" ht="20.100000000000001" customHeight="1"/>
    <row r="65354" spans="2:41" s="33" customFormat="1" ht="26.25" customHeight="1">
      <c r="B65354" s="34"/>
      <c r="C65354" s="34"/>
      <c r="D65354" s="146"/>
      <c r="E65354" s="146"/>
      <c r="F65354" s="34"/>
      <c r="I65354" s="34"/>
      <c r="K65354" s="102"/>
      <c r="L65354" s="45"/>
      <c r="M65354" s="45"/>
      <c r="N65354" s="45"/>
      <c r="O65354" s="102"/>
      <c r="P65354" s="34"/>
      <c r="Q65354" s="83"/>
      <c r="S65354" s="84"/>
      <c r="T65354" s="84"/>
      <c r="U65354" s="84"/>
      <c r="W65354" s="95"/>
      <c r="AB65354" s="87"/>
      <c r="AC65354" s="87"/>
      <c r="AD65354" s="76"/>
      <c r="AE65354" s="77"/>
      <c r="AF65354" s="26"/>
      <c r="AG65354" s="30"/>
      <c r="AJ65354" s="4"/>
      <c r="AK65354" s="4"/>
      <c r="AL65354" s="4"/>
      <c r="AM65354" s="4"/>
      <c r="AN65354" s="4"/>
      <c r="AO65354" s="4"/>
    </row>
    <row r="65476" spans="1:41" s="45" customFormat="1" ht="12.75" customHeight="1">
      <c r="A65476" s="33"/>
      <c r="B65476" s="34"/>
      <c r="C65476" s="34"/>
      <c r="D65476" s="146"/>
      <c r="E65476" s="146"/>
      <c r="F65476" s="34"/>
      <c r="G65476" s="33"/>
      <c r="H65476" s="33"/>
      <c r="I65476" s="34"/>
      <c r="J65476" s="33"/>
      <c r="K65476" s="102"/>
      <c r="M65476" s="153"/>
      <c r="O65476" s="102"/>
      <c r="P65476" s="34"/>
      <c r="Q65476" s="83"/>
      <c r="R65476" s="33"/>
      <c r="S65476" s="84"/>
      <c r="T65476" s="84"/>
      <c r="U65476" s="84"/>
      <c r="V65476" s="33"/>
      <c r="W65476" s="95"/>
      <c r="X65476" s="33"/>
      <c r="Y65476" s="33"/>
      <c r="Z65476" s="33"/>
      <c r="AA65476" s="33"/>
      <c r="AB65476" s="87"/>
      <c r="AC65476" s="87"/>
      <c r="AD65476" s="76"/>
      <c r="AE65476" s="77"/>
      <c r="AF65476" s="26"/>
      <c r="AG65476" s="30"/>
      <c r="AH65476" s="33"/>
      <c r="AI65476" s="33"/>
      <c r="AJ65476" s="4"/>
      <c r="AK65476" s="4"/>
      <c r="AL65476" s="4"/>
      <c r="AM65476" s="4"/>
      <c r="AN65476" s="4"/>
      <c r="AO65476" s="4"/>
    </row>
  </sheetData>
  <sheetProtection selectLockedCells="1" selectUnlockedCells="1"/>
  <mergeCells count="55">
    <mergeCell ref="A7:A8"/>
    <mergeCell ref="B7:B8"/>
    <mergeCell ref="C7:C8"/>
    <mergeCell ref="D7:D8"/>
    <mergeCell ref="F7:F8"/>
    <mergeCell ref="E7:E8"/>
    <mergeCell ref="J7:J8"/>
    <mergeCell ref="K7:K8"/>
    <mergeCell ref="L7:L8"/>
    <mergeCell ref="M7:M8"/>
    <mergeCell ref="G7:G8"/>
    <mergeCell ref="G31:G32"/>
    <mergeCell ref="AH7:AH8"/>
    <mergeCell ref="U7:AB7"/>
    <mergeCell ref="AC7:AC8"/>
    <mergeCell ref="AD7:AD8"/>
    <mergeCell ref="AE7:AE8"/>
    <mergeCell ref="AF7:AF8"/>
    <mergeCell ref="AG7:AG8"/>
    <mergeCell ref="N7:N8"/>
    <mergeCell ref="O7:O8"/>
    <mergeCell ref="P7:P8"/>
    <mergeCell ref="Q7:Q8"/>
    <mergeCell ref="R7:R8"/>
    <mergeCell ref="S7:S8"/>
    <mergeCell ref="H7:H8"/>
    <mergeCell ref="I7:I8"/>
    <mergeCell ref="A31:A32"/>
    <mergeCell ref="B31:B32"/>
    <mergeCell ref="C31:C32"/>
    <mergeCell ref="D31:D32"/>
    <mergeCell ref="F31:F32"/>
    <mergeCell ref="E31:E32"/>
    <mergeCell ref="S31:S32"/>
    <mergeCell ref="H31:H32"/>
    <mergeCell ref="I31:I32"/>
    <mergeCell ref="J31:J32"/>
    <mergeCell ref="K31:K32"/>
    <mergeCell ref="L31:L32"/>
    <mergeCell ref="M31:M32"/>
    <mergeCell ref="N31:N32"/>
    <mergeCell ref="O31:O32"/>
    <mergeCell ref="P31:P32"/>
    <mergeCell ref="Q31:Q32"/>
    <mergeCell ref="R31:R32"/>
    <mergeCell ref="T7:T8"/>
    <mergeCell ref="T31:T32"/>
    <mergeCell ref="AH31:AH32"/>
    <mergeCell ref="AI31:AI32"/>
    <mergeCell ref="U31:AB31"/>
    <mergeCell ref="AC31:AC32"/>
    <mergeCell ref="AD31:AD32"/>
    <mergeCell ref="AE31:AE32"/>
    <mergeCell ref="AF31:AF32"/>
    <mergeCell ref="AG31:AG32"/>
  </mergeCells>
  <conditionalFormatting sqref="B45">
    <cfRule type="cellIs" dxfId="20" priority="75" operator="equal">
      <formula>"VOID"</formula>
    </cfRule>
    <cfRule type="cellIs" dxfId="19" priority="76" operator="equal">
      <formula>"NO SALE"</formula>
    </cfRule>
  </conditionalFormatting>
  <conditionalFormatting sqref="B40:B44">
    <cfRule type="cellIs" dxfId="18" priority="41" operator="equal">
      <formula>"VOID"</formula>
    </cfRule>
    <cfRule type="cellIs" dxfId="17" priority="42" operator="equal">
      <formula>"NO SALE"</formula>
    </cfRule>
  </conditionalFormatting>
  <conditionalFormatting sqref="B35">
    <cfRule type="cellIs" dxfId="16" priority="23" operator="equal">
      <formula>"VOID"</formula>
    </cfRule>
    <cfRule type="cellIs" dxfId="15" priority="24" operator="equal">
      <formula>"NO SALE"</formula>
    </cfRule>
  </conditionalFormatting>
  <conditionalFormatting sqref="B36:B37 B39">
    <cfRule type="cellIs" dxfId="14" priority="21" operator="equal">
      <formula>"VOID"</formula>
    </cfRule>
    <cfRule type="cellIs" dxfId="13" priority="22" operator="equal">
      <formula>"NO SALE"</formula>
    </cfRule>
  </conditionalFormatting>
  <conditionalFormatting sqref="B34">
    <cfRule type="cellIs" dxfId="12" priority="7" operator="equal">
      <formula>"VOID"</formula>
    </cfRule>
    <cfRule type="cellIs" dxfId="11" priority="8" operator="equal">
      <formula>"NO SALE"</formula>
    </cfRule>
  </conditionalFormatting>
  <conditionalFormatting sqref="B38">
    <cfRule type="cellIs" dxfId="10" priority="5" operator="equal">
      <formula>"VOID"</formula>
    </cfRule>
    <cfRule type="cellIs" dxfId="9" priority="6" operator="equal">
      <formula>"NO SALE"</formula>
    </cfRule>
  </conditionalFormatting>
  <conditionalFormatting sqref="B33">
    <cfRule type="cellIs" dxfId="8" priority="1" operator="equal">
      <formula>"VOID"</formula>
    </cfRule>
    <cfRule type="cellIs" dxfId="7" priority="2" operator="equal">
      <formula>"NO SALE"</formula>
    </cfRule>
  </conditionalFormatting>
  <dataValidations count="1">
    <dataValidation type="list" allowBlank="1" showInputMessage="1" showErrorMessage="1" sqref="F12:F22 K12:K22">
      <formula1>#REF!</formula1>
    </dataValidation>
  </dataValidations>
  <printOptions horizontalCentered="1"/>
  <pageMargins left="0" right="0" top="0" bottom="0" header="0" footer="0"/>
  <pageSetup paperSize="9" scale="26" firstPageNumber="0" orientation="landscape" useFirstPageNumber="1" horizontalDpi="300" verticalDpi="300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Data!$D$1:$D$7</xm:f>
          </x14:formula1>
          <xm:sqref>K23:K27 K9:K11 K40:K45 K33:K39</xm:sqref>
        </x14:dataValidation>
        <x14:dataValidation type="list" allowBlank="1" showInputMessage="1" showErrorMessage="1">
          <x14:formula1>
            <xm:f>'Sales Support'!$F$2:$F$4</xm:f>
          </x14:formula1>
          <xm:sqref>AH37:AI37 AI38 AH31:AH32 AH34:AH36 AI33:AI35 AH40:AH45</xm:sqref>
        </x14:dataValidation>
        <x14:dataValidation type="list" allowBlank="1" showInputMessage="1" showErrorMessage="1">
          <x14:formula1>
            <xm:f>Data!$A:$A</xm:f>
          </x14:formula1>
          <xm:sqref>F10:F11 F40:F1048576 F1:F8 F23:F39</xm:sqref>
        </x14:dataValidation>
        <x14:dataValidation type="list" allowBlank="1" showInputMessage="1" showErrorMessage="1">
          <x14:formula1>
            <xm:f>'C:\Users\Bvlgari-PI\Desktop\[DAILY SALES REPORT BVLGARI PLAZA INDONESIA MARCH 2026.xlsx]Data'!#REF!</xm:f>
          </x14:formula1>
          <xm:sqref>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49"/>
  </sheetPr>
  <dimension ref="A1:KB65536"/>
  <sheetViews>
    <sheetView topLeftCell="A13" zoomScale="70" zoomScaleNormal="70" zoomScaleSheetLayoutView="75" workbookViewId="0">
      <pane xSplit="1" topLeftCell="U1" activePane="topRight" state="frozen"/>
      <selection pane="topRight" activeCell="X41" sqref="X41"/>
    </sheetView>
  </sheetViews>
  <sheetFormatPr defaultColWidth="6.5" defaultRowHeight="17.100000000000001" customHeight="1"/>
  <cols>
    <col min="1" max="1" width="19.5" style="455" customWidth="1"/>
    <col min="2" max="3" width="13.75" style="499" customWidth="1"/>
    <col min="4" max="4" width="9.25" style="443" customWidth="1"/>
    <col min="5" max="5" width="18.875" style="437" customWidth="1"/>
    <col min="6" max="6" width="17.5" style="437" customWidth="1"/>
    <col min="7" max="7" width="18.875" style="437" customWidth="1"/>
    <col min="8" max="8" width="17.625" style="437" bestFit="1" customWidth="1"/>
    <col min="9" max="9" width="20" style="437" customWidth="1"/>
    <col min="10" max="10" width="13.875" style="437" customWidth="1"/>
    <col min="11" max="11" width="16.25" style="437" customWidth="1"/>
    <col min="12" max="12" width="27" style="444" customWidth="1"/>
    <col min="13" max="14" width="17.25" style="437" customWidth="1"/>
    <col min="15" max="15" width="6.75" style="443" customWidth="1"/>
    <col min="16" max="16" width="21.25" style="437" customWidth="1"/>
    <col min="17" max="17" width="19.75" style="437" customWidth="1"/>
    <col min="18" max="18" width="22.75" style="437" customWidth="1"/>
    <col min="19" max="19" width="19.25" style="437" customWidth="1"/>
    <col min="20" max="20" width="19.25" style="437" bestFit="1" customWidth="1"/>
    <col min="21" max="21" width="18.25" style="437" bestFit="1" customWidth="1"/>
    <col min="22" max="22" width="19.625" style="437" bestFit="1" customWidth="1"/>
    <col min="23" max="23" width="20.125" style="437" customWidth="1"/>
    <col min="24" max="25" width="12.125" style="437" customWidth="1"/>
    <col min="26" max="26" width="6.75" style="437" customWidth="1"/>
    <col min="27" max="27" width="18.5" style="437" customWidth="1"/>
    <col min="28" max="28" width="18.75" style="437" customWidth="1"/>
    <col min="29" max="29" width="22.25" style="437" customWidth="1"/>
    <col min="30" max="31" width="22.5" style="437" customWidth="1"/>
    <col min="32" max="32" width="19.25" style="437" customWidth="1"/>
    <col min="33" max="33" width="18.75" style="437" customWidth="1"/>
    <col min="34" max="34" width="16.25" style="437" customWidth="1"/>
    <col min="35" max="35" width="15.5" style="437" bestFit="1" customWidth="1"/>
    <col min="36" max="36" width="23.75" style="437" customWidth="1"/>
    <col min="37" max="38" width="13.75" style="437" customWidth="1"/>
    <col min="39" max="39" width="6.75" style="445" customWidth="1"/>
    <col min="40" max="41" width="18.75" style="437" customWidth="1"/>
    <col min="42" max="42" width="22.25" style="437" customWidth="1"/>
    <col min="43" max="43" width="20.875" style="437" customWidth="1"/>
    <col min="44" max="44" width="18.125" style="437" customWidth="1"/>
    <col min="45" max="45" width="17.125" style="437" customWidth="1"/>
    <col min="46" max="46" width="17.5" style="437" customWidth="1"/>
    <col min="47" max="47" width="22.875" style="437" customWidth="1"/>
    <col min="48" max="49" width="12.125" style="437" customWidth="1"/>
    <col min="50" max="50" width="6.75" style="437" customWidth="1"/>
    <col min="51" max="51" width="21.5" style="437" bestFit="1" customWidth="1"/>
    <col min="52" max="52" width="21" style="437" bestFit="1" customWidth="1"/>
    <col min="53" max="53" width="22.25" style="437" customWidth="1"/>
    <col min="54" max="54" width="23.875" style="437" bestFit="1" customWidth="1"/>
    <col min="55" max="57" width="22.25" style="437" customWidth="1"/>
    <col min="58" max="58" width="25" style="437" customWidth="1"/>
    <col min="59" max="61" width="18.5" style="437" customWidth="1"/>
    <col min="62" max="62" width="26.375" style="437" bestFit="1" customWidth="1"/>
    <col min="63" max="64" width="13.75" style="437" customWidth="1"/>
    <col min="65" max="65" width="6.75" style="445" customWidth="1"/>
    <col min="66" max="67" width="18.75" style="437" customWidth="1"/>
    <col min="68" max="68" width="22.25" style="437" customWidth="1"/>
    <col min="69" max="69" width="20.625" style="437" customWidth="1"/>
    <col min="70" max="70" width="18.125" style="437" customWidth="1"/>
    <col min="71" max="71" width="18.75" style="437" customWidth="1"/>
    <col min="72" max="72" width="18" style="437" customWidth="1"/>
    <col min="73" max="73" width="22.875" style="437" customWidth="1"/>
    <col min="74" max="75" width="13.75" style="437" customWidth="1"/>
    <col min="76" max="76" width="6.75" style="445" customWidth="1"/>
    <col min="77" max="78" width="18.75" style="437" customWidth="1"/>
    <col min="79" max="80" width="22.25" style="437" customWidth="1"/>
    <col min="81" max="81" width="18.125" style="437" customWidth="1"/>
    <col min="82" max="82" width="17.125" style="437" customWidth="1"/>
    <col min="83" max="83" width="16.375" style="437" customWidth="1"/>
    <col min="84" max="84" width="22.875" style="437" customWidth="1"/>
    <col min="85" max="86" width="13.75" style="437" customWidth="1"/>
    <col min="87" max="87" width="6.75" style="445" customWidth="1"/>
    <col min="88" max="89" width="18.75" style="437" customWidth="1"/>
    <col min="90" max="90" width="22.25" style="437" customWidth="1"/>
    <col min="91" max="91" width="22.875" style="437" customWidth="1"/>
    <col min="92" max="92" width="18.125" style="437" customWidth="1"/>
    <col min="93" max="93" width="19.125" style="437" customWidth="1"/>
    <col min="94" max="94" width="17.625" style="437" bestFit="1" customWidth="1"/>
    <col min="95" max="95" width="22.875" style="437" customWidth="1"/>
    <col min="96" max="97" width="13.75" style="437" customWidth="1"/>
    <col min="98" max="98" width="6.75" style="445" customWidth="1"/>
    <col min="99" max="100" width="18.75" style="437" customWidth="1"/>
    <col min="101" max="101" width="22.25" style="437" customWidth="1"/>
    <col min="102" max="102" width="20.25" style="437" customWidth="1"/>
    <col min="103" max="103" width="18.125" style="437" customWidth="1"/>
    <col min="104" max="104" width="19.375" style="437" customWidth="1"/>
    <col min="105" max="105" width="16.125" style="437" customWidth="1"/>
    <col min="106" max="106" width="22.875" style="437" customWidth="1"/>
    <col min="107" max="108" width="13.75" style="437" customWidth="1"/>
    <col min="109" max="109" width="6.75" style="445" customWidth="1"/>
    <col min="110" max="111" width="18.75" style="437" customWidth="1"/>
    <col min="112" max="112" width="22.25" style="437" customWidth="1"/>
    <col min="113" max="113" width="20.625" style="437" customWidth="1"/>
    <col min="114" max="114" width="18.125" style="437" customWidth="1"/>
    <col min="115" max="115" width="17.125" style="437" customWidth="1"/>
    <col min="116" max="116" width="14.25" style="437" customWidth="1"/>
    <col min="117" max="117" width="22.875" style="437" customWidth="1"/>
    <col min="118" max="119" width="13.75" style="437" customWidth="1"/>
    <col min="120" max="120" width="6.75" style="445" customWidth="1"/>
    <col min="121" max="122" width="18.75" style="437" customWidth="1"/>
    <col min="123" max="124" width="22.25" style="437" customWidth="1"/>
    <col min="125" max="125" width="18.125" style="437" customWidth="1"/>
    <col min="126" max="126" width="17.125" style="437" customWidth="1"/>
    <col min="127" max="127" width="14.25" style="437" customWidth="1"/>
    <col min="128" max="128" width="22.875" style="437" customWidth="1"/>
    <col min="129" max="130" width="13.75" style="437" customWidth="1"/>
    <col min="131" max="131" width="6.75" style="445" customWidth="1"/>
    <col min="132" max="133" width="18.75" style="437" customWidth="1"/>
    <col min="134" max="134" width="22.25" style="437" customWidth="1"/>
    <col min="135" max="135" width="19.25" style="437" customWidth="1"/>
    <col min="136" max="136" width="18.125" style="437" customWidth="1"/>
    <col min="137" max="137" width="17.125" style="437" customWidth="1"/>
    <col min="138" max="138" width="16.875" style="437" customWidth="1"/>
    <col min="139" max="139" width="25.625" style="437" customWidth="1"/>
    <col min="140" max="141" width="13.75" style="437" customWidth="1"/>
    <col min="142" max="142" width="6.75" style="445" customWidth="1"/>
    <col min="143" max="144" width="18.75" style="437" customWidth="1"/>
    <col min="145" max="145" width="22.25" style="437" customWidth="1"/>
    <col min="146" max="146" width="19.25" style="437" customWidth="1"/>
    <col min="147" max="147" width="18.125" style="437" customWidth="1"/>
    <col min="148" max="148" width="17.125" style="437" customWidth="1"/>
    <col min="149" max="149" width="16" style="437" bestFit="1" customWidth="1"/>
    <col min="150" max="152" width="22.875" style="437" customWidth="1"/>
    <col min="153" max="153" width="9" style="437" customWidth="1"/>
    <col min="154" max="161" width="22.875" style="437" customWidth="1"/>
    <col min="162" max="163" width="13.75" style="437" customWidth="1"/>
    <col min="164" max="164" width="6.75" style="445" customWidth="1"/>
    <col min="165" max="166" width="18.75" style="437" customWidth="1"/>
    <col min="167" max="167" width="22.25" style="437" customWidth="1"/>
    <col min="168" max="168" width="19.25" style="437" customWidth="1"/>
    <col min="169" max="169" width="18.125" style="437" customWidth="1"/>
    <col min="170" max="170" width="17.125" style="437" customWidth="1"/>
    <col min="171" max="171" width="16.625" style="437" customWidth="1"/>
    <col min="172" max="172" width="22.875" style="437" customWidth="1"/>
    <col min="173" max="175" width="22.5" style="437" customWidth="1"/>
    <col min="176" max="177" width="26.375" style="437" bestFit="1" customWidth="1"/>
    <col min="178" max="178" width="25.75" style="437" customWidth="1"/>
    <col min="179" max="179" width="25.25" style="437" customWidth="1"/>
    <col min="180" max="16384" width="6.5" style="354"/>
  </cols>
  <sheetData>
    <row r="1" spans="1:288" s="13" customFormat="1" ht="27.6" customHeight="1">
      <c r="A1" s="1091" t="s">
        <v>29</v>
      </c>
      <c r="B1" s="1091"/>
      <c r="C1" s="1091"/>
      <c r="D1" s="1091"/>
      <c r="G1" s="435"/>
      <c r="L1" s="436"/>
      <c r="FQ1" s="437"/>
      <c r="FR1" s="437"/>
      <c r="FS1" s="437"/>
      <c r="FT1" s="437"/>
      <c r="FU1" s="437"/>
      <c r="FV1" s="437"/>
      <c r="FW1" s="437"/>
      <c r="FX1" s="354"/>
      <c r="FY1" s="354"/>
      <c r="FZ1" s="354"/>
      <c r="GA1" s="354"/>
      <c r="GB1" s="354"/>
      <c r="GC1" s="354"/>
      <c r="GD1" s="354"/>
      <c r="GE1" s="354"/>
      <c r="GF1" s="354"/>
      <c r="GG1" s="354"/>
      <c r="GH1" s="354"/>
      <c r="GI1" s="354"/>
      <c r="GJ1" s="354"/>
      <c r="GK1" s="354"/>
      <c r="GL1" s="354"/>
      <c r="GM1" s="354"/>
      <c r="GN1" s="354"/>
      <c r="GO1" s="354"/>
      <c r="GP1" s="354"/>
      <c r="GQ1" s="354"/>
      <c r="GR1" s="354"/>
      <c r="GS1" s="354"/>
      <c r="GT1" s="354"/>
      <c r="GU1" s="354"/>
      <c r="GV1" s="354"/>
      <c r="GW1" s="354"/>
      <c r="GX1" s="354"/>
      <c r="GY1" s="354"/>
      <c r="GZ1" s="354"/>
      <c r="HA1" s="354"/>
      <c r="HB1" s="354"/>
      <c r="HC1" s="354"/>
      <c r="HD1" s="354"/>
      <c r="HE1" s="354"/>
      <c r="HF1" s="354"/>
      <c r="HG1" s="354"/>
      <c r="HH1" s="354"/>
      <c r="HI1" s="354"/>
      <c r="HJ1" s="354"/>
      <c r="HK1" s="354"/>
      <c r="HL1" s="354"/>
      <c r="HM1" s="354"/>
      <c r="HN1" s="354"/>
      <c r="HO1" s="354"/>
      <c r="HP1" s="354"/>
      <c r="HQ1" s="354"/>
      <c r="HR1" s="354"/>
      <c r="HS1" s="354"/>
      <c r="HT1" s="354"/>
      <c r="HU1" s="354"/>
      <c r="HV1" s="354"/>
      <c r="HW1" s="354"/>
      <c r="HX1" s="354"/>
      <c r="HY1" s="354"/>
      <c r="HZ1" s="354"/>
      <c r="IA1" s="354"/>
      <c r="IB1" s="354"/>
      <c r="IC1" s="354"/>
      <c r="ID1" s="354"/>
      <c r="IE1" s="354"/>
      <c r="IF1" s="354"/>
      <c r="IG1" s="354"/>
      <c r="IH1" s="354"/>
      <c r="II1" s="354"/>
      <c r="IJ1" s="354"/>
      <c r="IK1" s="354"/>
      <c r="IL1" s="354"/>
      <c r="IM1" s="354"/>
      <c r="IN1" s="354"/>
      <c r="IO1" s="354"/>
      <c r="IP1" s="354"/>
      <c r="IQ1" s="354"/>
      <c r="IR1" s="354"/>
      <c r="IS1" s="354"/>
      <c r="IT1" s="354"/>
      <c r="IU1" s="354"/>
      <c r="IV1" s="354"/>
      <c r="IW1" s="354"/>
      <c r="IX1" s="354"/>
      <c r="IY1" s="354"/>
      <c r="IZ1" s="354"/>
      <c r="JA1" s="354"/>
      <c r="JB1" s="354"/>
      <c r="JC1" s="354"/>
      <c r="JD1" s="354"/>
      <c r="JE1" s="354"/>
      <c r="JF1" s="354"/>
      <c r="JG1" s="354"/>
      <c r="JH1" s="354"/>
      <c r="JI1" s="354"/>
      <c r="JJ1" s="354"/>
      <c r="JK1" s="354"/>
      <c r="JL1" s="354"/>
      <c r="JM1" s="354"/>
      <c r="JN1" s="354"/>
      <c r="JO1" s="354"/>
      <c r="JP1" s="354"/>
      <c r="JQ1" s="354"/>
      <c r="JR1" s="354"/>
      <c r="JS1" s="354"/>
      <c r="JT1" s="354"/>
      <c r="JU1" s="354"/>
      <c r="JV1" s="354"/>
      <c r="JW1" s="354"/>
      <c r="JX1" s="354"/>
      <c r="JY1" s="354"/>
      <c r="JZ1" s="354"/>
      <c r="KA1" s="354"/>
      <c r="KB1" s="354"/>
    </row>
    <row r="2" spans="1:288" s="13" customFormat="1" ht="21.6" customHeight="1">
      <c r="A2" s="9" t="s">
        <v>30</v>
      </c>
      <c r="B2" s="10"/>
      <c r="C2" s="10"/>
      <c r="D2" s="10"/>
      <c r="G2" s="438"/>
      <c r="L2" s="436"/>
      <c r="FQ2" s="437"/>
      <c r="FR2" s="437"/>
      <c r="FS2" s="437"/>
      <c r="FT2" s="437"/>
      <c r="FU2" s="437"/>
      <c r="FV2" s="437"/>
      <c r="FW2" s="437"/>
      <c r="FX2" s="354"/>
      <c r="FY2" s="354"/>
      <c r="FZ2" s="354"/>
      <c r="GA2" s="354"/>
      <c r="GB2" s="354"/>
      <c r="GC2" s="354"/>
      <c r="GD2" s="354"/>
      <c r="GE2" s="354"/>
      <c r="GF2" s="354"/>
      <c r="GG2" s="354"/>
      <c r="GH2" s="354"/>
      <c r="GI2" s="354"/>
      <c r="GJ2" s="354"/>
      <c r="GK2" s="354"/>
      <c r="GL2" s="354"/>
      <c r="GM2" s="354"/>
      <c r="GN2" s="354"/>
      <c r="GO2" s="354"/>
      <c r="GP2" s="354"/>
      <c r="GQ2" s="354"/>
      <c r="GR2" s="354"/>
      <c r="GS2" s="354"/>
      <c r="GT2" s="354"/>
      <c r="GU2" s="354"/>
      <c r="GV2" s="354"/>
      <c r="GW2" s="354"/>
      <c r="GX2" s="354"/>
      <c r="GY2" s="354"/>
      <c r="GZ2" s="354"/>
      <c r="HA2" s="354"/>
      <c r="HB2" s="354"/>
      <c r="HC2" s="354"/>
      <c r="HD2" s="354"/>
      <c r="HE2" s="354"/>
      <c r="HF2" s="354"/>
      <c r="HG2" s="354"/>
      <c r="HH2" s="354"/>
      <c r="HI2" s="354"/>
      <c r="HJ2" s="354"/>
      <c r="HK2" s="354"/>
      <c r="HL2" s="354"/>
      <c r="HM2" s="354"/>
      <c r="HN2" s="354"/>
      <c r="HO2" s="354"/>
      <c r="HP2" s="354"/>
      <c r="HQ2" s="354"/>
      <c r="HR2" s="354"/>
      <c r="HS2" s="354"/>
      <c r="HT2" s="354"/>
      <c r="HU2" s="354"/>
      <c r="HV2" s="354"/>
      <c r="HW2" s="354"/>
      <c r="HX2" s="354"/>
      <c r="HY2" s="354"/>
      <c r="HZ2" s="354"/>
      <c r="IA2" s="354"/>
      <c r="IB2" s="354"/>
      <c r="IC2" s="354"/>
      <c r="ID2" s="354"/>
      <c r="IE2" s="354"/>
      <c r="IF2" s="354"/>
      <c r="IG2" s="354"/>
      <c r="IH2" s="354"/>
      <c r="II2" s="354"/>
      <c r="IJ2" s="354"/>
      <c r="IK2" s="354"/>
      <c r="IL2" s="354"/>
      <c r="IM2" s="354"/>
      <c r="IN2" s="354"/>
      <c r="IO2" s="354"/>
      <c r="IP2" s="354"/>
      <c r="IQ2" s="354"/>
      <c r="IR2" s="354"/>
      <c r="IS2" s="354"/>
      <c r="IT2" s="354"/>
      <c r="IU2" s="354"/>
      <c r="IV2" s="354"/>
      <c r="IW2" s="354"/>
      <c r="IX2" s="354"/>
      <c r="IY2" s="354"/>
      <c r="IZ2" s="354"/>
      <c r="JA2" s="354"/>
      <c r="JB2" s="354"/>
      <c r="JC2" s="354"/>
      <c r="JD2" s="354"/>
      <c r="JE2" s="354"/>
      <c r="JF2" s="354"/>
      <c r="JG2" s="354"/>
      <c r="JH2" s="354"/>
      <c r="JI2" s="354"/>
      <c r="JJ2" s="354"/>
      <c r="JK2" s="354"/>
      <c r="JL2" s="354"/>
      <c r="JM2" s="354"/>
      <c r="JN2" s="354"/>
      <c r="JO2" s="354"/>
      <c r="JP2" s="354"/>
      <c r="JQ2" s="354"/>
      <c r="JR2" s="354"/>
      <c r="JS2" s="354"/>
      <c r="JT2" s="354"/>
      <c r="JU2" s="354"/>
      <c r="JV2" s="354"/>
      <c r="JW2" s="354"/>
      <c r="JX2" s="354"/>
      <c r="JY2" s="354"/>
      <c r="JZ2" s="354"/>
      <c r="KA2" s="354"/>
      <c r="KB2" s="354"/>
    </row>
    <row r="3" spans="1:288" s="13" customFormat="1" ht="23.1" customHeight="1">
      <c r="A3" s="1092">
        <f>DS!B3</f>
        <v>46266</v>
      </c>
      <c r="B3" s="1092"/>
      <c r="C3" s="1092"/>
      <c r="D3" s="1092"/>
      <c r="L3" s="436"/>
      <c r="FQ3" s="437"/>
      <c r="FR3" s="437"/>
      <c r="FS3" s="437"/>
      <c r="FT3" s="437"/>
      <c r="FU3" s="437"/>
      <c r="FV3" s="437"/>
      <c r="FW3" s="437"/>
      <c r="FX3" s="354"/>
      <c r="FY3" s="354"/>
      <c r="FZ3" s="354"/>
      <c r="GA3" s="354"/>
      <c r="GB3" s="354"/>
      <c r="GC3" s="354"/>
      <c r="GD3" s="354"/>
      <c r="GE3" s="354"/>
      <c r="GF3" s="354"/>
      <c r="GG3" s="354"/>
      <c r="GH3" s="354"/>
      <c r="GI3" s="354"/>
      <c r="GJ3" s="354"/>
      <c r="GK3" s="354"/>
      <c r="GL3" s="354"/>
      <c r="GM3" s="354"/>
      <c r="GN3" s="354"/>
      <c r="GO3" s="354"/>
      <c r="GP3" s="354"/>
      <c r="GQ3" s="354"/>
      <c r="GR3" s="354"/>
      <c r="GS3" s="354"/>
      <c r="GT3" s="354"/>
      <c r="GU3" s="354"/>
      <c r="GV3" s="354"/>
      <c r="GW3" s="354"/>
      <c r="GX3" s="354"/>
      <c r="GY3" s="354"/>
      <c r="GZ3" s="354"/>
      <c r="HA3" s="354"/>
      <c r="HB3" s="354"/>
      <c r="HC3" s="354"/>
      <c r="HD3" s="354"/>
      <c r="HE3" s="354"/>
      <c r="HF3" s="354"/>
      <c r="HG3" s="354"/>
      <c r="HH3" s="354"/>
      <c r="HI3" s="354"/>
      <c r="HJ3" s="354"/>
      <c r="HK3" s="354"/>
      <c r="HL3" s="354"/>
      <c r="HM3" s="354"/>
      <c r="HN3" s="354"/>
      <c r="HO3" s="354"/>
      <c r="HP3" s="354"/>
      <c r="HQ3" s="354"/>
      <c r="HR3" s="354"/>
      <c r="HS3" s="354"/>
      <c r="HT3" s="354"/>
      <c r="HU3" s="354"/>
      <c r="HV3" s="354"/>
      <c r="HW3" s="354"/>
      <c r="HX3" s="354"/>
      <c r="HY3" s="354"/>
      <c r="HZ3" s="354"/>
      <c r="IA3" s="354"/>
      <c r="IB3" s="354"/>
      <c r="IC3" s="354"/>
      <c r="ID3" s="354"/>
      <c r="IE3" s="354"/>
      <c r="IF3" s="354"/>
      <c r="IG3" s="354"/>
      <c r="IH3" s="354"/>
      <c r="II3" s="354"/>
      <c r="IJ3" s="354"/>
      <c r="IK3" s="354"/>
      <c r="IL3" s="354"/>
      <c r="IM3" s="354"/>
      <c r="IN3" s="354"/>
      <c r="IO3" s="354"/>
      <c r="IP3" s="354"/>
      <c r="IQ3" s="354"/>
      <c r="IR3" s="354"/>
      <c r="IS3" s="354"/>
      <c r="IT3" s="354"/>
      <c r="IU3" s="354"/>
      <c r="IV3" s="354"/>
      <c r="IW3" s="354"/>
      <c r="IX3" s="354"/>
      <c r="IY3" s="354"/>
      <c r="IZ3" s="354"/>
      <c r="JA3" s="354"/>
      <c r="JB3" s="354"/>
      <c r="JC3" s="354"/>
      <c r="JD3" s="354"/>
      <c r="JE3" s="354"/>
      <c r="JF3" s="354"/>
      <c r="JG3" s="354"/>
      <c r="JH3" s="354"/>
      <c r="JI3" s="354"/>
      <c r="JJ3" s="354"/>
      <c r="JK3" s="354"/>
      <c r="JL3" s="354"/>
      <c r="JM3" s="354"/>
      <c r="JN3" s="354"/>
      <c r="JO3" s="354"/>
      <c r="JP3" s="354"/>
      <c r="JQ3" s="354"/>
      <c r="JR3" s="354"/>
      <c r="JS3" s="354"/>
      <c r="JT3" s="354"/>
      <c r="JU3" s="354"/>
      <c r="JV3" s="354"/>
      <c r="JW3" s="354"/>
      <c r="JX3" s="354"/>
      <c r="JY3" s="354"/>
      <c r="JZ3" s="354"/>
      <c r="KA3" s="354"/>
      <c r="KB3" s="354"/>
    </row>
    <row r="4" spans="1:288" s="13" customFormat="1" ht="23.1" customHeight="1">
      <c r="A4" s="342"/>
      <c r="B4" s="10"/>
      <c r="C4" s="10"/>
      <c r="D4" s="10"/>
      <c r="G4" s="439"/>
      <c r="H4" s="439"/>
      <c r="I4" s="439"/>
      <c r="L4" s="436"/>
      <c r="FQ4" s="437"/>
      <c r="FR4" s="437"/>
      <c r="FS4" s="437"/>
      <c r="FT4" s="437"/>
      <c r="FU4" s="437"/>
      <c r="FV4" s="437"/>
      <c r="FW4" s="437"/>
      <c r="FX4" s="354"/>
      <c r="FY4" s="354"/>
      <c r="FZ4" s="354"/>
      <c r="GA4" s="354"/>
      <c r="GB4" s="354"/>
      <c r="GC4" s="354"/>
      <c r="GD4" s="354"/>
      <c r="GE4" s="354"/>
      <c r="GF4" s="354"/>
      <c r="GG4" s="354"/>
      <c r="GH4" s="354"/>
      <c r="GI4" s="354"/>
      <c r="GJ4" s="354"/>
      <c r="GK4" s="354"/>
      <c r="GL4" s="354"/>
      <c r="GM4" s="354"/>
      <c r="GN4" s="354"/>
      <c r="GO4" s="354"/>
      <c r="GP4" s="354"/>
      <c r="GQ4" s="354"/>
      <c r="GR4" s="354"/>
      <c r="GS4" s="354"/>
      <c r="GT4" s="354"/>
      <c r="GU4" s="354"/>
      <c r="GV4" s="354"/>
      <c r="GW4" s="354"/>
      <c r="GX4" s="354"/>
      <c r="GY4" s="354"/>
      <c r="GZ4" s="354"/>
      <c r="HA4" s="354"/>
      <c r="HB4" s="354"/>
      <c r="HC4" s="354"/>
      <c r="HD4" s="354"/>
      <c r="HE4" s="354"/>
      <c r="HF4" s="354"/>
      <c r="HG4" s="354"/>
      <c r="HH4" s="354"/>
      <c r="HI4" s="354"/>
      <c r="HJ4" s="354"/>
      <c r="HK4" s="354"/>
      <c r="HL4" s="354"/>
      <c r="HM4" s="354"/>
      <c r="HN4" s="354"/>
      <c r="HO4" s="354"/>
      <c r="HP4" s="354"/>
      <c r="HQ4" s="354"/>
      <c r="HR4" s="354"/>
      <c r="HS4" s="354"/>
      <c r="HT4" s="354"/>
      <c r="HU4" s="354"/>
      <c r="HV4" s="354"/>
      <c r="HW4" s="354"/>
      <c r="HX4" s="354"/>
      <c r="HY4" s="354"/>
      <c r="HZ4" s="354"/>
      <c r="IA4" s="354"/>
      <c r="IB4" s="354"/>
      <c r="IC4" s="354"/>
      <c r="ID4" s="354"/>
      <c r="IE4" s="354"/>
      <c r="IF4" s="354"/>
      <c r="IG4" s="354"/>
      <c r="IH4" s="354"/>
      <c r="II4" s="354"/>
      <c r="IJ4" s="354"/>
      <c r="IK4" s="354"/>
      <c r="IL4" s="354"/>
      <c r="IM4" s="354"/>
      <c r="IN4" s="354"/>
      <c r="IO4" s="354"/>
      <c r="IP4" s="354"/>
      <c r="IQ4" s="354"/>
      <c r="IR4" s="354"/>
      <c r="IS4" s="354"/>
      <c r="IT4" s="354"/>
      <c r="IU4" s="354"/>
      <c r="IV4" s="354"/>
      <c r="IW4" s="354"/>
      <c r="IX4" s="354"/>
      <c r="IY4" s="354"/>
      <c r="IZ4" s="354"/>
      <c r="JA4" s="354"/>
      <c r="JB4" s="354"/>
      <c r="JC4" s="354"/>
      <c r="JD4" s="354"/>
      <c r="JE4" s="354"/>
      <c r="JF4" s="354"/>
      <c r="JG4" s="354"/>
      <c r="JH4" s="354"/>
      <c r="JI4" s="354"/>
      <c r="JJ4" s="354"/>
      <c r="JK4" s="354"/>
      <c r="JL4" s="354"/>
      <c r="JM4" s="354"/>
      <c r="JN4" s="354"/>
      <c r="JO4" s="354"/>
      <c r="JP4" s="354"/>
      <c r="JQ4" s="354"/>
      <c r="JR4" s="354"/>
      <c r="JS4" s="354"/>
      <c r="JT4" s="354"/>
      <c r="JU4" s="354"/>
      <c r="JV4" s="354"/>
      <c r="JW4" s="354"/>
      <c r="JX4" s="354"/>
      <c r="JY4" s="354"/>
      <c r="JZ4" s="354"/>
      <c r="KA4" s="354"/>
      <c r="KB4" s="354"/>
    </row>
    <row r="5" spans="1:288" ht="17.100000000000001" customHeight="1">
      <c r="A5" s="440" t="s">
        <v>606</v>
      </c>
      <c r="B5" s="441"/>
      <c r="C5" s="441"/>
      <c r="D5" s="438"/>
      <c r="E5" s="442" t="s">
        <v>603</v>
      </c>
      <c r="H5" s="443"/>
      <c r="O5" s="437"/>
    </row>
    <row r="6" spans="1:288" ht="33" customHeight="1">
      <c r="A6" s="19" t="s">
        <v>31</v>
      </c>
      <c r="B6" s="20" t="s">
        <v>32</v>
      </c>
      <c r="C6" s="446" t="s">
        <v>597</v>
      </c>
      <c r="D6" s="447"/>
      <c r="E6" s="19" t="s">
        <v>31</v>
      </c>
      <c r="F6" s="20" t="s">
        <v>601</v>
      </c>
      <c r="G6" s="20" t="s">
        <v>604</v>
      </c>
      <c r="H6" s="446" t="s">
        <v>602</v>
      </c>
      <c r="I6" s="446" t="s">
        <v>605</v>
      </c>
      <c r="K6" s="448" t="s">
        <v>66</v>
      </c>
    </row>
    <row r="7" spans="1:288" ht="17.100000000000001" customHeight="1">
      <c r="A7" s="449">
        <v>0</v>
      </c>
      <c r="B7" s="450">
        <v>0.03</v>
      </c>
      <c r="C7" s="450">
        <v>3.5999999999999997E-2</v>
      </c>
      <c r="D7" s="451"/>
      <c r="E7" s="449">
        <v>0</v>
      </c>
      <c r="F7" s="452">
        <v>3.3000000000000002E-2</v>
      </c>
      <c r="G7" s="452">
        <v>3.5999999999999997E-2</v>
      </c>
      <c r="H7" s="452">
        <v>3.9600000000000003E-2</v>
      </c>
      <c r="I7" s="452">
        <v>3.5999999999999997E-2</v>
      </c>
      <c r="K7" s="448" t="s">
        <v>67</v>
      </c>
    </row>
    <row r="8" spans="1:288" ht="17.100000000000001" customHeight="1">
      <c r="A8" s="453" t="s">
        <v>33</v>
      </c>
      <c r="B8" s="450">
        <v>1.2E-2</v>
      </c>
      <c r="C8" s="450">
        <v>2.4E-2</v>
      </c>
      <c r="D8" s="451"/>
      <c r="E8" s="453" t="s">
        <v>33</v>
      </c>
      <c r="F8" s="452">
        <v>1.32E-2</v>
      </c>
      <c r="G8" s="452">
        <v>1.44E-2</v>
      </c>
      <c r="H8" s="452">
        <v>2.1999999999999999E-2</v>
      </c>
      <c r="I8" s="452">
        <v>2.4E-2</v>
      </c>
      <c r="K8" s="448" t="s">
        <v>592</v>
      </c>
    </row>
    <row r="9" spans="1:288" ht="17.100000000000001" customHeight="1">
      <c r="A9" s="453" t="s">
        <v>34</v>
      </c>
      <c r="B9" s="450">
        <v>6.0000000000000001E-3</v>
      </c>
      <c r="C9" s="450">
        <v>1.2E-2</v>
      </c>
      <c r="D9" s="454"/>
      <c r="E9" s="453" t="s">
        <v>34</v>
      </c>
      <c r="F9" s="452">
        <v>6.6E-3</v>
      </c>
      <c r="G9" s="452">
        <v>7.1999999999999998E-3</v>
      </c>
      <c r="H9" s="452">
        <v>1.0999999999999999E-2</v>
      </c>
      <c r="I9" s="452">
        <v>1.2E-2</v>
      </c>
    </row>
    <row r="10" spans="1:288" ht="17.100000000000001" customHeight="1">
      <c r="A10" s="453" t="s">
        <v>35</v>
      </c>
      <c r="B10" s="450">
        <v>0</v>
      </c>
      <c r="C10" s="450">
        <v>5.0000000000000001E-3</v>
      </c>
      <c r="D10" s="454"/>
      <c r="E10" s="453" t="s">
        <v>35</v>
      </c>
      <c r="F10" s="452">
        <v>0</v>
      </c>
      <c r="G10" s="452">
        <v>0</v>
      </c>
      <c r="H10" s="452">
        <v>5.4999999999999997E-3</v>
      </c>
      <c r="I10" s="452">
        <v>6.0000000000000001E-3</v>
      </c>
    </row>
    <row r="11" spans="1:288" ht="17.100000000000001" customHeight="1">
      <c r="B11" s="456"/>
      <c r="C11" s="456"/>
      <c r="D11" s="444"/>
      <c r="F11" s="457"/>
      <c r="G11" s="457"/>
      <c r="H11" s="457"/>
      <c r="I11" s="458"/>
      <c r="J11" s="459"/>
      <c r="K11" s="460"/>
    </row>
    <row r="12" spans="1:288" ht="17.100000000000001" customHeight="1">
      <c r="A12" s="1093" t="s">
        <v>36</v>
      </c>
      <c r="B12" s="1094" t="s">
        <v>87</v>
      </c>
      <c r="C12" s="1095" t="s">
        <v>37</v>
      </c>
      <c r="D12" s="458"/>
      <c r="E12" s="444"/>
      <c r="G12" s="458"/>
      <c r="H12" s="444"/>
      <c r="J12" s="458"/>
      <c r="K12" s="458"/>
      <c r="M12" s="461"/>
    </row>
    <row r="13" spans="1:288" ht="17.100000000000001" customHeight="1">
      <c r="A13" s="1093"/>
      <c r="B13" s="1094"/>
      <c r="C13" s="1095"/>
      <c r="D13" s="458"/>
      <c r="E13" s="444"/>
      <c r="G13" s="458"/>
      <c r="H13" s="444"/>
      <c r="J13" s="458"/>
      <c r="K13" s="458"/>
    </row>
    <row r="14" spans="1:288" ht="17.100000000000001" customHeight="1">
      <c r="A14" s="462"/>
      <c r="B14" s="463"/>
      <c r="C14" s="463"/>
      <c r="D14" s="444"/>
      <c r="F14" s="458"/>
      <c r="G14" s="458"/>
      <c r="H14" s="444"/>
      <c r="J14" s="458"/>
      <c r="K14" s="458"/>
      <c r="W14" s="1100" t="s">
        <v>636</v>
      </c>
    </row>
    <row r="15" spans="1:288" ht="17.100000000000001" customHeight="1">
      <c r="A15" s="462"/>
      <c r="B15" s="463"/>
      <c r="C15" s="463"/>
      <c r="D15" s="444"/>
      <c r="F15" s="458"/>
      <c r="G15" s="458"/>
      <c r="H15" s="444"/>
      <c r="J15" s="458"/>
      <c r="K15" s="458"/>
      <c r="W15" s="1100"/>
    </row>
    <row r="16" spans="1:288" ht="17.100000000000001" customHeight="1">
      <c r="A16" s="462"/>
      <c r="B16" s="463"/>
      <c r="C16" s="463"/>
      <c r="D16" s="444"/>
      <c r="F16" s="458"/>
      <c r="G16" s="458"/>
      <c r="H16" s="444"/>
      <c r="I16" s="458"/>
      <c r="J16" s="458"/>
      <c r="K16" s="458"/>
      <c r="W16" s="1100"/>
      <c r="BB16" s="308">
        <v>3.5000000000000003E-2</v>
      </c>
      <c r="BC16" s="308">
        <v>0.03</v>
      </c>
      <c r="BD16" s="308">
        <v>2.5000000000000001E-2</v>
      </c>
      <c r="BE16" s="308">
        <v>0.02</v>
      </c>
      <c r="BF16" s="308">
        <v>1.7500000000000002E-2</v>
      </c>
      <c r="BG16" s="308">
        <v>0.01</v>
      </c>
      <c r="BH16" s="308">
        <v>7.0000000000000001E-3</v>
      </c>
      <c r="BI16" s="308">
        <v>5.0000000000000001E-3</v>
      </c>
      <c r="BJ16" s="309">
        <v>3.5000000000000001E-3</v>
      </c>
    </row>
    <row r="17" spans="1:288" ht="17.100000000000001" customHeight="1">
      <c r="B17" s="464"/>
      <c r="C17" s="464"/>
      <c r="D17" s="444"/>
      <c r="E17" s="458"/>
      <c r="F17" s="458"/>
      <c r="G17" s="458"/>
      <c r="H17" s="465"/>
      <c r="W17" s="1100"/>
      <c r="BB17" s="308"/>
      <c r="BC17" s="308"/>
      <c r="BD17" s="308"/>
      <c r="BE17" s="308"/>
      <c r="BF17" s="308"/>
      <c r="BG17" s="308"/>
      <c r="BH17" s="308"/>
      <c r="BI17" s="308"/>
      <c r="BJ17" s="309"/>
    </row>
    <row r="18" spans="1:288" s="13" customFormat="1" ht="17.100000000000001" customHeight="1">
      <c r="A18" s="9"/>
      <c r="B18" s="445"/>
      <c r="C18" s="445"/>
      <c r="D18" s="445"/>
      <c r="H18" s="466">
        <v>3</v>
      </c>
      <c r="I18" s="466">
        <v>2.5</v>
      </c>
      <c r="J18" s="466">
        <v>2</v>
      </c>
      <c r="K18" s="466">
        <v>1</v>
      </c>
      <c r="L18" s="467" t="s">
        <v>635</v>
      </c>
      <c r="S18" s="466">
        <v>3</v>
      </c>
      <c r="T18" s="466">
        <v>2.5</v>
      </c>
      <c r="U18" s="466">
        <v>2</v>
      </c>
      <c r="V18" s="466">
        <v>1</v>
      </c>
      <c r="W18" s="1101"/>
      <c r="AF18" s="466">
        <v>3</v>
      </c>
      <c r="AG18" s="466">
        <v>2.5</v>
      </c>
      <c r="AH18" s="466">
        <v>2</v>
      </c>
      <c r="AI18" s="466">
        <v>1</v>
      </c>
      <c r="AQ18" s="466">
        <v>3</v>
      </c>
      <c r="AR18" s="466">
        <v>2.5</v>
      </c>
      <c r="AS18" s="466">
        <v>2</v>
      </c>
      <c r="AT18" s="466">
        <v>1</v>
      </c>
      <c r="BQ18" s="466">
        <v>3</v>
      </c>
      <c r="BR18" s="466">
        <v>2.5</v>
      </c>
      <c r="BS18" s="466">
        <v>2</v>
      </c>
      <c r="BT18" s="466">
        <v>1</v>
      </c>
      <c r="CB18" s="466">
        <v>3</v>
      </c>
      <c r="CC18" s="466">
        <v>2.5</v>
      </c>
      <c r="CD18" s="466">
        <v>2</v>
      </c>
      <c r="CE18" s="466">
        <v>1</v>
      </c>
      <c r="CM18" s="466">
        <v>3</v>
      </c>
      <c r="CN18" s="466">
        <v>2.5</v>
      </c>
      <c r="CO18" s="466">
        <v>2</v>
      </c>
      <c r="CP18" s="466">
        <v>1</v>
      </c>
      <c r="CX18" s="466">
        <v>3</v>
      </c>
      <c r="CY18" s="466">
        <v>2.5</v>
      </c>
      <c r="CZ18" s="466">
        <v>2</v>
      </c>
      <c r="DA18" s="466">
        <v>1</v>
      </c>
      <c r="DI18" s="466">
        <v>3</v>
      </c>
      <c r="DJ18" s="466">
        <v>2.5</v>
      </c>
      <c r="DK18" s="466">
        <v>2</v>
      </c>
      <c r="DL18" s="466">
        <v>1</v>
      </c>
      <c r="DT18" s="466">
        <v>3</v>
      </c>
      <c r="DU18" s="466">
        <v>2.5</v>
      </c>
      <c r="DV18" s="466">
        <v>2</v>
      </c>
      <c r="DW18" s="466">
        <v>1</v>
      </c>
      <c r="EE18" s="466">
        <v>3</v>
      </c>
      <c r="EF18" s="466">
        <v>2.5</v>
      </c>
      <c r="EG18" s="466">
        <v>2</v>
      </c>
      <c r="EH18" s="466">
        <v>1</v>
      </c>
      <c r="EP18" s="466">
        <v>3</v>
      </c>
      <c r="EQ18" s="466">
        <v>2.5</v>
      </c>
      <c r="ER18" s="466">
        <v>2</v>
      </c>
      <c r="ES18" s="466">
        <v>1</v>
      </c>
      <c r="FA18" s="466">
        <v>3</v>
      </c>
      <c r="FB18" s="466">
        <v>2.5</v>
      </c>
      <c r="FC18" s="466">
        <v>2</v>
      </c>
      <c r="FD18" s="466">
        <v>1</v>
      </c>
      <c r="FL18" s="466">
        <v>3</v>
      </c>
      <c r="FM18" s="466">
        <v>2.5</v>
      </c>
      <c r="FN18" s="466">
        <v>2</v>
      </c>
      <c r="FO18" s="466">
        <v>1</v>
      </c>
      <c r="FQ18" s="437"/>
      <c r="FR18" s="437"/>
      <c r="FS18" s="437"/>
      <c r="FT18" s="437"/>
      <c r="FU18" s="437"/>
      <c r="FV18" s="437"/>
      <c r="FW18" s="437"/>
      <c r="FX18" s="354"/>
      <c r="FY18" s="354"/>
      <c r="FZ18" s="354"/>
      <c r="GA18" s="354"/>
      <c r="GB18" s="354"/>
      <c r="GC18" s="354"/>
      <c r="GD18" s="354"/>
      <c r="GE18" s="354"/>
      <c r="GF18" s="354"/>
      <c r="GG18" s="354"/>
      <c r="GH18" s="354"/>
      <c r="GI18" s="354"/>
      <c r="GJ18" s="354"/>
      <c r="GK18" s="354"/>
      <c r="GL18" s="354"/>
      <c r="GM18" s="354"/>
      <c r="GN18" s="354"/>
      <c r="GO18" s="354"/>
      <c r="GP18" s="354"/>
      <c r="GQ18" s="354"/>
      <c r="GR18" s="354"/>
      <c r="GS18" s="354"/>
      <c r="GT18" s="354"/>
      <c r="GU18" s="354"/>
      <c r="GV18" s="354"/>
      <c r="GW18" s="354"/>
      <c r="GX18" s="354"/>
      <c r="GY18" s="354"/>
      <c r="GZ18" s="354"/>
      <c r="HA18" s="354"/>
      <c r="HB18" s="354"/>
      <c r="HC18" s="354"/>
      <c r="HD18" s="354"/>
      <c r="HE18" s="354"/>
      <c r="HF18" s="354"/>
      <c r="HG18" s="354"/>
      <c r="HH18" s="354"/>
      <c r="HI18" s="354"/>
      <c r="HJ18" s="354"/>
      <c r="HK18" s="354"/>
      <c r="HL18" s="354"/>
      <c r="HM18" s="354"/>
      <c r="HN18" s="354"/>
      <c r="HO18" s="354"/>
      <c r="HP18" s="354"/>
      <c r="HQ18" s="354"/>
      <c r="HR18" s="354"/>
      <c r="HS18" s="354"/>
      <c r="HT18" s="354"/>
      <c r="HU18" s="354"/>
      <c r="HV18" s="354"/>
      <c r="HW18" s="354"/>
      <c r="HX18" s="354"/>
      <c r="HY18" s="354"/>
      <c r="HZ18" s="354"/>
      <c r="IA18" s="354"/>
      <c r="IB18" s="354"/>
      <c r="IC18" s="354"/>
      <c r="ID18" s="354"/>
      <c r="IE18" s="354"/>
      <c r="IF18" s="354"/>
      <c r="IG18" s="354"/>
      <c r="IH18" s="354"/>
      <c r="II18" s="354"/>
      <c r="IJ18" s="354"/>
      <c r="IK18" s="354"/>
      <c r="IL18" s="354"/>
      <c r="IM18" s="354"/>
      <c r="IN18" s="354"/>
      <c r="IO18" s="354"/>
      <c r="IP18" s="354"/>
      <c r="IQ18" s="354"/>
      <c r="IR18" s="354"/>
      <c r="IS18" s="354"/>
      <c r="IT18" s="354"/>
      <c r="IU18" s="354"/>
      <c r="IV18" s="354"/>
      <c r="IW18" s="354"/>
      <c r="IX18" s="354"/>
      <c r="IY18" s="354"/>
      <c r="IZ18" s="354"/>
      <c r="JA18" s="354"/>
      <c r="JB18" s="354"/>
      <c r="JC18" s="354"/>
      <c r="JD18" s="354"/>
      <c r="JE18" s="354"/>
      <c r="JF18" s="354"/>
      <c r="JG18" s="354"/>
      <c r="JH18" s="354"/>
      <c r="JI18" s="354"/>
      <c r="JJ18" s="354"/>
      <c r="JK18" s="354"/>
      <c r="JL18" s="354"/>
      <c r="JM18" s="354"/>
      <c r="JN18" s="354"/>
      <c r="JO18" s="354"/>
      <c r="JP18" s="354"/>
      <c r="JQ18" s="354"/>
      <c r="JR18" s="354"/>
      <c r="JS18" s="354"/>
      <c r="JT18" s="354"/>
      <c r="JU18" s="354"/>
      <c r="JV18" s="354"/>
      <c r="JW18" s="354"/>
      <c r="JX18" s="354"/>
      <c r="JY18" s="354"/>
      <c r="JZ18" s="354"/>
      <c r="KA18" s="354"/>
      <c r="KB18" s="354"/>
    </row>
    <row r="19" spans="1:288" ht="17.100000000000001" customHeight="1">
      <c r="A19" s="21" t="s">
        <v>38</v>
      </c>
      <c r="B19" s="1066" t="s">
        <v>789</v>
      </c>
      <c r="C19" s="1067"/>
      <c r="D19" s="1067"/>
      <c r="E19" s="1067"/>
      <c r="F19" s="1067"/>
      <c r="G19" s="1067"/>
      <c r="H19" s="1067"/>
      <c r="I19" s="1067"/>
      <c r="J19" s="1067"/>
      <c r="K19" s="1068"/>
      <c r="L19" s="266">
        <f>DS!AD322</f>
        <v>13500000000</v>
      </c>
      <c r="M19" s="1019" t="s">
        <v>795</v>
      </c>
      <c r="N19" s="1020"/>
      <c r="O19" s="1020"/>
      <c r="P19" s="1020"/>
      <c r="Q19" s="1020"/>
      <c r="R19" s="1020"/>
      <c r="S19" s="1020"/>
      <c r="T19" s="1020"/>
      <c r="U19" s="1020"/>
      <c r="V19" s="1021"/>
      <c r="W19" s="468">
        <v>1050000000</v>
      </c>
      <c r="X19" s="1096" t="s">
        <v>776</v>
      </c>
      <c r="Y19" s="1097"/>
      <c r="Z19" s="1098"/>
      <c r="AA19" s="1098"/>
      <c r="AB19" s="1098"/>
      <c r="AC19" s="1099"/>
      <c r="AD19" s="1090" t="s">
        <v>598</v>
      </c>
      <c r="AE19" s="1090"/>
      <c r="AF19" s="1063"/>
      <c r="AG19" s="1064"/>
      <c r="AH19" s="1064"/>
      <c r="AI19" s="1065"/>
      <c r="AJ19" s="469">
        <v>1556250000</v>
      </c>
      <c r="AK19" s="1030" t="s">
        <v>763</v>
      </c>
      <c r="AL19" s="1030"/>
      <c r="AM19" s="1030"/>
      <c r="AN19" s="1030"/>
      <c r="AO19" s="1030"/>
      <c r="AP19" s="1030"/>
      <c r="AQ19" s="1030"/>
      <c r="AR19" s="1030"/>
      <c r="AS19" s="1030"/>
      <c r="AT19" s="1030"/>
      <c r="AU19" s="468">
        <f>AJ19</f>
        <v>1556250000</v>
      </c>
      <c r="AV19" s="1033" t="s">
        <v>777</v>
      </c>
      <c r="AW19" s="1033"/>
      <c r="AX19" s="1033"/>
      <c r="AY19" s="1033"/>
      <c r="AZ19" s="1033"/>
      <c r="BA19" s="1033"/>
      <c r="BB19" s="1033"/>
      <c r="BC19" s="1055"/>
      <c r="BD19" s="1055"/>
      <c r="BE19" s="1055"/>
      <c r="BF19" s="1033"/>
      <c r="BG19" s="1033"/>
      <c r="BH19" s="1033"/>
      <c r="BI19" s="1033"/>
      <c r="BJ19" s="469">
        <f>AJ19</f>
        <v>1556250000</v>
      </c>
      <c r="BK19" s="1030" t="s">
        <v>765</v>
      </c>
      <c r="BL19" s="1030"/>
      <c r="BM19" s="1030"/>
      <c r="BN19" s="1030"/>
      <c r="BO19" s="1030"/>
      <c r="BP19" s="1030"/>
      <c r="BQ19" s="1030"/>
      <c r="BR19" s="1030"/>
      <c r="BS19" s="1030"/>
      <c r="BT19" s="1030"/>
      <c r="BU19" s="468">
        <f>AJ19</f>
        <v>1556250000</v>
      </c>
      <c r="BV19" s="1033" t="s">
        <v>764</v>
      </c>
      <c r="BW19" s="1033"/>
      <c r="BX19" s="1033"/>
      <c r="BY19" s="1033"/>
      <c r="BZ19" s="1033"/>
      <c r="CA19" s="1033"/>
      <c r="CB19" s="1033"/>
      <c r="CC19" s="1033"/>
      <c r="CD19" s="1033"/>
      <c r="CE19" s="1033"/>
      <c r="CF19" s="469">
        <f>AJ19</f>
        <v>1556250000</v>
      </c>
      <c r="CG19" s="1030" t="s">
        <v>773</v>
      </c>
      <c r="CH19" s="1030"/>
      <c r="CI19" s="1030"/>
      <c r="CJ19" s="1030"/>
      <c r="CK19" s="1030"/>
      <c r="CL19" s="1030"/>
      <c r="CM19" s="1030"/>
      <c r="CN19" s="1030"/>
      <c r="CO19" s="1030"/>
      <c r="CP19" s="1030"/>
      <c r="CQ19" s="468">
        <f>AJ19</f>
        <v>1556250000</v>
      </c>
      <c r="CR19" s="1033" t="s">
        <v>785</v>
      </c>
      <c r="CS19" s="1033"/>
      <c r="CT19" s="1033"/>
      <c r="CU19" s="1033"/>
      <c r="CV19" s="1033"/>
      <c r="CW19" s="1033"/>
      <c r="CX19" s="1033"/>
      <c r="CY19" s="1033"/>
      <c r="CZ19" s="1033"/>
      <c r="DA19" s="1033"/>
      <c r="DB19" s="469">
        <f>AJ19</f>
        <v>1556250000</v>
      </c>
      <c r="DC19" s="1030" t="s">
        <v>780</v>
      </c>
      <c r="DD19" s="1030"/>
      <c r="DE19" s="1030"/>
      <c r="DF19" s="1030"/>
      <c r="DG19" s="1030"/>
      <c r="DH19" s="1030"/>
      <c r="DI19" s="1030"/>
      <c r="DJ19" s="1030"/>
      <c r="DK19" s="1030"/>
      <c r="DL19" s="1030"/>
      <c r="DM19" s="468">
        <f>AJ19</f>
        <v>1556250000</v>
      </c>
      <c r="DN19" s="1033" t="s">
        <v>1325</v>
      </c>
      <c r="DO19" s="1033"/>
      <c r="DP19" s="1033"/>
      <c r="DQ19" s="1033"/>
      <c r="DR19" s="1033"/>
      <c r="DS19" s="1033"/>
      <c r="DT19" s="1033"/>
      <c r="DU19" s="1033"/>
      <c r="DV19" s="1033"/>
      <c r="DW19" s="1033"/>
      <c r="DX19" s="469"/>
      <c r="DY19" s="1030"/>
      <c r="DZ19" s="1030"/>
      <c r="EA19" s="1030"/>
      <c r="EB19" s="1030"/>
      <c r="EC19" s="1030"/>
      <c r="ED19" s="1030"/>
      <c r="EE19" s="1030"/>
      <c r="EF19" s="1030"/>
      <c r="EG19" s="1030"/>
      <c r="EH19" s="1030"/>
      <c r="EI19" s="468"/>
      <c r="EJ19" s="1033"/>
      <c r="EK19" s="1033"/>
      <c r="EL19" s="1033"/>
      <c r="EM19" s="1033"/>
      <c r="EN19" s="1033"/>
      <c r="EO19" s="1033"/>
      <c r="EP19" s="1033"/>
      <c r="EQ19" s="1033"/>
      <c r="ER19" s="1033"/>
      <c r="ES19" s="1033"/>
      <c r="ET19" s="469"/>
      <c r="EU19" s="1019"/>
      <c r="EV19" s="1020"/>
      <c r="EW19" s="1020"/>
      <c r="EX19" s="1020"/>
      <c r="EY19" s="1020"/>
      <c r="EZ19" s="1020"/>
      <c r="FA19" s="1020"/>
      <c r="FB19" s="1020"/>
      <c r="FC19" s="1020"/>
      <c r="FD19" s="1021"/>
      <c r="FE19" s="468"/>
      <c r="FF19" s="1033"/>
      <c r="FG19" s="1033"/>
      <c r="FH19" s="1033"/>
      <c r="FI19" s="1033"/>
      <c r="FJ19" s="1033"/>
      <c r="FK19" s="1033"/>
      <c r="FL19" s="1033"/>
      <c r="FM19" s="1033"/>
      <c r="FN19" s="1033"/>
      <c r="FO19" s="1033"/>
      <c r="FP19" s="469"/>
      <c r="FQ19" s="1086" t="s">
        <v>20</v>
      </c>
      <c r="FR19" s="1086"/>
      <c r="FS19" s="1086"/>
      <c r="FT19" s="1086"/>
      <c r="FU19" s="1086"/>
      <c r="FV19" s="1087"/>
      <c r="FW19" s="1087"/>
    </row>
    <row r="20" spans="1:288" ht="17.25" customHeight="1">
      <c r="A20" s="22"/>
      <c r="B20" s="1080" t="s">
        <v>79</v>
      </c>
      <c r="C20" s="1080" t="s">
        <v>596</v>
      </c>
      <c r="D20" s="1080" t="s">
        <v>40</v>
      </c>
      <c r="E20" s="1070" t="s">
        <v>41</v>
      </c>
      <c r="F20" s="1070" t="s">
        <v>42</v>
      </c>
      <c r="G20" s="1070" t="s">
        <v>39</v>
      </c>
      <c r="H20" s="1074">
        <v>3.5999999999999997E-2</v>
      </c>
      <c r="I20" s="1076">
        <v>0.03</v>
      </c>
      <c r="J20" s="1076">
        <v>2.4E-2</v>
      </c>
      <c r="K20" s="1076">
        <v>1.2E-2</v>
      </c>
      <c r="L20" s="1078">
        <v>6.0000000000000001E-3</v>
      </c>
      <c r="M20" s="1031" t="s">
        <v>79</v>
      </c>
      <c r="N20" s="1031" t="s">
        <v>596</v>
      </c>
      <c r="O20" s="1032" t="s">
        <v>40</v>
      </c>
      <c r="P20" s="1032" t="s">
        <v>41</v>
      </c>
      <c r="Q20" s="1032" t="s">
        <v>42</v>
      </c>
      <c r="R20" s="1032" t="s">
        <v>39</v>
      </c>
      <c r="S20" s="1046">
        <v>3.5999999999999997E-2</v>
      </c>
      <c r="T20" s="1047">
        <v>0.03</v>
      </c>
      <c r="U20" s="1047">
        <v>2.4E-2</v>
      </c>
      <c r="V20" s="1047">
        <v>1.2E-2</v>
      </c>
      <c r="W20" s="1072">
        <v>6.0000000000000001E-3</v>
      </c>
      <c r="X20" s="1103" t="s">
        <v>79</v>
      </c>
      <c r="Y20" s="1088" t="s">
        <v>596</v>
      </c>
      <c r="Z20" s="1069" t="s">
        <v>40</v>
      </c>
      <c r="AA20" s="1069" t="s">
        <v>41</v>
      </c>
      <c r="AB20" s="1069" t="s">
        <v>42</v>
      </c>
      <c r="AC20" s="1069" t="s">
        <v>39</v>
      </c>
      <c r="AD20" s="1033" t="s">
        <v>599</v>
      </c>
      <c r="AE20" s="1033" t="s">
        <v>600</v>
      </c>
      <c r="AF20" s="1061">
        <v>3.5999999999999997E-2</v>
      </c>
      <c r="AG20" s="1059">
        <v>0.03</v>
      </c>
      <c r="AH20" s="1059">
        <v>2.4E-2</v>
      </c>
      <c r="AI20" s="1059">
        <v>1.2E-2</v>
      </c>
      <c r="AJ20" s="1057">
        <v>6.0000000000000001E-3</v>
      </c>
      <c r="AK20" s="1048" t="s">
        <v>79</v>
      </c>
      <c r="AL20" s="1031" t="s">
        <v>596</v>
      </c>
      <c r="AM20" s="1031" t="s">
        <v>40</v>
      </c>
      <c r="AN20" s="1032" t="s">
        <v>41</v>
      </c>
      <c r="AO20" s="1032" t="s">
        <v>42</v>
      </c>
      <c r="AP20" s="1032" t="s">
        <v>39</v>
      </c>
      <c r="AQ20" s="1051">
        <v>3.5999999999999997E-2</v>
      </c>
      <c r="AR20" s="1052">
        <v>0.03</v>
      </c>
      <c r="AS20" s="1052">
        <v>2.4E-2</v>
      </c>
      <c r="AT20" s="1052">
        <v>1.2E-2</v>
      </c>
      <c r="AU20" s="1072">
        <v>6.0000000000000001E-3</v>
      </c>
      <c r="AV20" s="1044" t="s">
        <v>79</v>
      </c>
      <c r="AW20" s="1044" t="s">
        <v>596</v>
      </c>
      <c r="AX20" s="1036" t="s">
        <v>40</v>
      </c>
      <c r="AY20" s="1036" t="s">
        <v>41</v>
      </c>
      <c r="AZ20" s="1036" t="s">
        <v>42</v>
      </c>
      <c r="BA20" s="1036" t="s">
        <v>39</v>
      </c>
      <c r="BB20" s="1056">
        <v>4.2000000000000003E-2</v>
      </c>
      <c r="BC20" s="1056">
        <v>3.5999999999999997E-2</v>
      </c>
      <c r="BD20" s="1056">
        <v>0.03</v>
      </c>
      <c r="BE20" s="1056">
        <v>2.4E-2</v>
      </c>
      <c r="BF20" s="1056">
        <v>2.1000000000000001E-2</v>
      </c>
      <c r="BG20" s="1056">
        <v>1.2E-2</v>
      </c>
      <c r="BH20" s="1056">
        <v>8.3000000000000001E-3</v>
      </c>
      <c r="BI20" s="1056">
        <v>6.0000000000000001E-3</v>
      </c>
      <c r="BJ20" s="1053">
        <v>4.1999999999999997E-3</v>
      </c>
      <c r="BK20" s="1048" t="s">
        <v>79</v>
      </c>
      <c r="BL20" s="1031" t="s">
        <v>596</v>
      </c>
      <c r="BM20" s="1031" t="s">
        <v>40</v>
      </c>
      <c r="BN20" s="1032" t="s">
        <v>41</v>
      </c>
      <c r="BO20" s="1032" t="s">
        <v>42</v>
      </c>
      <c r="BP20" s="1032" t="s">
        <v>39</v>
      </c>
      <c r="BQ20" s="1051">
        <v>3.5999999999999997E-2</v>
      </c>
      <c r="BR20" s="1052">
        <v>0.03</v>
      </c>
      <c r="BS20" s="1052">
        <v>2.4E-2</v>
      </c>
      <c r="BT20" s="1052">
        <v>1.2E-2</v>
      </c>
      <c r="BU20" s="1072">
        <v>6.0000000000000001E-3</v>
      </c>
      <c r="BV20" s="1042" t="s">
        <v>79</v>
      </c>
      <c r="BW20" s="1044" t="s">
        <v>596</v>
      </c>
      <c r="BX20" s="1044" t="s">
        <v>40</v>
      </c>
      <c r="BY20" s="1036" t="s">
        <v>41</v>
      </c>
      <c r="BZ20" s="1036" t="s">
        <v>42</v>
      </c>
      <c r="CA20" s="1036" t="s">
        <v>39</v>
      </c>
      <c r="CB20" s="1038">
        <v>3.5999999999999997E-2</v>
      </c>
      <c r="CC20" s="1040">
        <v>0.03</v>
      </c>
      <c r="CD20" s="1040">
        <v>2.4E-2</v>
      </c>
      <c r="CE20" s="1040">
        <v>1.2E-2</v>
      </c>
      <c r="CF20" s="1053">
        <v>6.0000000000000001E-3</v>
      </c>
      <c r="CG20" s="1048" t="s">
        <v>79</v>
      </c>
      <c r="CH20" s="1031" t="s">
        <v>596</v>
      </c>
      <c r="CI20" s="1031" t="s">
        <v>40</v>
      </c>
      <c r="CJ20" s="1032" t="s">
        <v>41</v>
      </c>
      <c r="CK20" s="1032" t="s">
        <v>42</v>
      </c>
      <c r="CL20" s="1032" t="s">
        <v>39</v>
      </c>
      <c r="CM20" s="1051">
        <v>3.5999999999999997E-2</v>
      </c>
      <c r="CN20" s="1052">
        <v>0.03</v>
      </c>
      <c r="CO20" s="1052">
        <v>2.4E-2</v>
      </c>
      <c r="CP20" s="1052">
        <v>1.2E-2</v>
      </c>
      <c r="CQ20" s="1072">
        <v>6.0000000000000001E-3</v>
      </c>
      <c r="CR20" s="1042" t="s">
        <v>79</v>
      </c>
      <c r="CS20" s="1044" t="s">
        <v>596</v>
      </c>
      <c r="CT20" s="1044" t="s">
        <v>40</v>
      </c>
      <c r="CU20" s="1036" t="s">
        <v>41</v>
      </c>
      <c r="CV20" s="1036" t="s">
        <v>42</v>
      </c>
      <c r="CW20" s="1036" t="s">
        <v>39</v>
      </c>
      <c r="CX20" s="1038">
        <v>3.5999999999999997E-2</v>
      </c>
      <c r="CY20" s="1040">
        <v>0.03</v>
      </c>
      <c r="CZ20" s="1040">
        <v>2.4E-2</v>
      </c>
      <c r="DA20" s="1040">
        <v>1.2E-2</v>
      </c>
      <c r="DB20" s="1104">
        <v>6.0000000000000001E-3</v>
      </c>
      <c r="DC20" s="1048" t="s">
        <v>79</v>
      </c>
      <c r="DD20" s="1031" t="s">
        <v>596</v>
      </c>
      <c r="DE20" s="1031" t="s">
        <v>40</v>
      </c>
      <c r="DF20" s="1032" t="s">
        <v>41</v>
      </c>
      <c r="DG20" s="1032" t="s">
        <v>42</v>
      </c>
      <c r="DH20" s="1032" t="s">
        <v>39</v>
      </c>
      <c r="DI20" s="1046">
        <v>3.5999999999999997E-2</v>
      </c>
      <c r="DJ20" s="1047">
        <v>0.03</v>
      </c>
      <c r="DK20" s="1047">
        <v>2.4E-2</v>
      </c>
      <c r="DL20" s="1047">
        <v>1.2E-2</v>
      </c>
      <c r="DM20" s="1085">
        <v>6.0000000000000001E-3</v>
      </c>
      <c r="DN20" s="1042" t="s">
        <v>79</v>
      </c>
      <c r="DO20" s="1044" t="s">
        <v>596</v>
      </c>
      <c r="DP20" s="1044" t="s">
        <v>40</v>
      </c>
      <c r="DQ20" s="1036" t="s">
        <v>41</v>
      </c>
      <c r="DR20" s="1036" t="s">
        <v>42</v>
      </c>
      <c r="DS20" s="1036" t="s">
        <v>39</v>
      </c>
      <c r="DT20" s="1038">
        <v>3.5999999999999997E-2</v>
      </c>
      <c r="DU20" s="1040">
        <v>0.03</v>
      </c>
      <c r="DV20" s="1040">
        <v>2.4E-2</v>
      </c>
      <c r="DW20" s="1040">
        <v>1.2E-2</v>
      </c>
      <c r="DX20" s="1083">
        <v>6.0000000000000001E-3</v>
      </c>
      <c r="DY20" s="1048" t="s">
        <v>79</v>
      </c>
      <c r="DZ20" s="1031" t="s">
        <v>596</v>
      </c>
      <c r="EA20" s="1031" t="s">
        <v>40</v>
      </c>
      <c r="EB20" s="1032" t="s">
        <v>41</v>
      </c>
      <c r="EC20" s="1032" t="s">
        <v>42</v>
      </c>
      <c r="ED20" s="1032" t="s">
        <v>39</v>
      </c>
      <c r="EE20" s="1051">
        <v>3.5999999999999997E-2</v>
      </c>
      <c r="EF20" s="1052">
        <v>0.03</v>
      </c>
      <c r="EG20" s="1052">
        <v>2.4E-2</v>
      </c>
      <c r="EH20" s="1052">
        <v>1.2E-2</v>
      </c>
      <c r="EI20" s="1072">
        <v>6.0000000000000001E-3</v>
      </c>
      <c r="EJ20" s="1042" t="s">
        <v>79</v>
      </c>
      <c r="EK20" s="1044" t="s">
        <v>596</v>
      </c>
      <c r="EL20" s="1034" t="s">
        <v>40</v>
      </c>
      <c r="EM20" s="1036" t="s">
        <v>41</v>
      </c>
      <c r="EN20" s="1036" t="s">
        <v>42</v>
      </c>
      <c r="EO20" s="1036" t="s">
        <v>39</v>
      </c>
      <c r="EP20" s="1038">
        <v>3.5999999999999997E-2</v>
      </c>
      <c r="EQ20" s="1040">
        <v>0.03</v>
      </c>
      <c r="ER20" s="1040">
        <v>2.4E-2</v>
      </c>
      <c r="ES20" s="1040">
        <v>1.2E-2</v>
      </c>
      <c r="ET20" s="1083">
        <v>6.0000000000000001E-3</v>
      </c>
      <c r="EU20" s="1022" t="s">
        <v>79</v>
      </c>
      <c r="EV20" s="1022" t="s">
        <v>596</v>
      </c>
      <c r="EW20" s="1022" t="s">
        <v>40</v>
      </c>
      <c r="EX20" s="1024" t="s">
        <v>41</v>
      </c>
      <c r="EY20" s="1024" t="s">
        <v>42</v>
      </c>
      <c r="EZ20" s="1024" t="s">
        <v>39</v>
      </c>
      <c r="FA20" s="1026">
        <v>3.5999999999999997E-2</v>
      </c>
      <c r="FB20" s="1028">
        <v>0.03</v>
      </c>
      <c r="FC20" s="1028">
        <v>2.4E-2</v>
      </c>
      <c r="FD20" s="1028">
        <v>1.2E-2</v>
      </c>
      <c r="FE20" s="1084">
        <v>6.0000000000000001E-3</v>
      </c>
      <c r="FF20" s="1042" t="s">
        <v>79</v>
      </c>
      <c r="FG20" s="1044" t="s">
        <v>596</v>
      </c>
      <c r="FH20" s="1034" t="s">
        <v>40</v>
      </c>
      <c r="FI20" s="1036" t="s">
        <v>41</v>
      </c>
      <c r="FJ20" s="1036" t="s">
        <v>42</v>
      </c>
      <c r="FK20" s="1036" t="s">
        <v>39</v>
      </c>
      <c r="FL20" s="1038">
        <v>3.5999999999999997E-2</v>
      </c>
      <c r="FM20" s="1040">
        <v>0.03</v>
      </c>
      <c r="FN20" s="1040">
        <v>2.4E-2</v>
      </c>
      <c r="FO20" s="1040">
        <v>1.2E-2</v>
      </c>
      <c r="FP20" s="1083">
        <v>6.0000000000000001E-3</v>
      </c>
      <c r="FQ20" s="1082" t="s">
        <v>79</v>
      </c>
      <c r="FR20" s="1082" t="s">
        <v>596</v>
      </c>
      <c r="FS20" s="341"/>
      <c r="FT20" s="341"/>
      <c r="FU20" s="341"/>
      <c r="FV20" s="341"/>
      <c r="FW20" s="341"/>
    </row>
    <row r="21" spans="1:288" s="473" customFormat="1" ht="17.100000000000001" customHeight="1">
      <c r="A21" s="23">
        <f>DS!B3</f>
        <v>46266</v>
      </c>
      <c r="B21" s="1102"/>
      <c r="C21" s="1102"/>
      <c r="D21" s="1081"/>
      <c r="E21" s="1071"/>
      <c r="F21" s="1071"/>
      <c r="G21" s="1071"/>
      <c r="H21" s="1075"/>
      <c r="I21" s="1077"/>
      <c r="J21" s="1077"/>
      <c r="K21" s="1077"/>
      <c r="L21" s="1079"/>
      <c r="M21" s="1050"/>
      <c r="N21" s="1050"/>
      <c r="O21" s="1025"/>
      <c r="P21" s="1025"/>
      <c r="Q21" s="1025"/>
      <c r="R21" s="1025"/>
      <c r="S21" s="1027"/>
      <c r="T21" s="1029"/>
      <c r="U21" s="1029"/>
      <c r="V21" s="1029"/>
      <c r="W21" s="1073"/>
      <c r="X21" s="1045"/>
      <c r="Y21" s="1089"/>
      <c r="Z21" s="1069"/>
      <c r="AA21" s="1069"/>
      <c r="AB21" s="1069"/>
      <c r="AC21" s="1069"/>
      <c r="AD21" s="1033"/>
      <c r="AE21" s="1033"/>
      <c r="AF21" s="1062"/>
      <c r="AG21" s="1060"/>
      <c r="AH21" s="1060"/>
      <c r="AI21" s="1060"/>
      <c r="AJ21" s="1058"/>
      <c r="AK21" s="1049"/>
      <c r="AL21" s="1050"/>
      <c r="AM21" s="1023"/>
      <c r="AN21" s="1025"/>
      <c r="AO21" s="1025"/>
      <c r="AP21" s="1025"/>
      <c r="AQ21" s="1027"/>
      <c r="AR21" s="1029"/>
      <c r="AS21" s="1029"/>
      <c r="AT21" s="1029"/>
      <c r="AU21" s="1073"/>
      <c r="AV21" s="1045"/>
      <c r="AW21" s="1045"/>
      <c r="AX21" s="1037"/>
      <c r="AY21" s="1037"/>
      <c r="AZ21" s="1037"/>
      <c r="BA21" s="1037"/>
      <c r="BB21" s="1041"/>
      <c r="BC21" s="1041"/>
      <c r="BD21" s="1041"/>
      <c r="BE21" s="1041"/>
      <c r="BF21" s="1041"/>
      <c r="BG21" s="1041"/>
      <c r="BH21" s="1041"/>
      <c r="BI21" s="1041"/>
      <c r="BJ21" s="1054"/>
      <c r="BK21" s="1049"/>
      <c r="BL21" s="1050"/>
      <c r="BM21" s="1023"/>
      <c r="BN21" s="1025"/>
      <c r="BO21" s="1025"/>
      <c r="BP21" s="1025"/>
      <c r="BQ21" s="1027"/>
      <c r="BR21" s="1029"/>
      <c r="BS21" s="1029"/>
      <c r="BT21" s="1029"/>
      <c r="BU21" s="1073"/>
      <c r="BV21" s="1043"/>
      <c r="BW21" s="1045"/>
      <c r="BX21" s="1035"/>
      <c r="BY21" s="1037"/>
      <c r="BZ21" s="1037"/>
      <c r="CA21" s="1037"/>
      <c r="CB21" s="1039"/>
      <c r="CC21" s="1041"/>
      <c r="CD21" s="1041"/>
      <c r="CE21" s="1041"/>
      <c r="CF21" s="1054"/>
      <c r="CG21" s="1049"/>
      <c r="CH21" s="1050"/>
      <c r="CI21" s="1023"/>
      <c r="CJ21" s="1025"/>
      <c r="CK21" s="1025"/>
      <c r="CL21" s="1025"/>
      <c r="CM21" s="1027"/>
      <c r="CN21" s="1029"/>
      <c r="CO21" s="1029"/>
      <c r="CP21" s="1029"/>
      <c r="CQ21" s="1073"/>
      <c r="CR21" s="1043"/>
      <c r="CS21" s="1045"/>
      <c r="CT21" s="1035"/>
      <c r="CU21" s="1037"/>
      <c r="CV21" s="1037"/>
      <c r="CW21" s="1037"/>
      <c r="CX21" s="1039"/>
      <c r="CY21" s="1041"/>
      <c r="CZ21" s="1041"/>
      <c r="DA21" s="1041"/>
      <c r="DB21" s="1054"/>
      <c r="DC21" s="1049"/>
      <c r="DD21" s="1050"/>
      <c r="DE21" s="1023"/>
      <c r="DF21" s="1025"/>
      <c r="DG21" s="1025"/>
      <c r="DH21" s="1025"/>
      <c r="DI21" s="1027"/>
      <c r="DJ21" s="1029"/>
      <c r="DK21" s="1029"/>
      <c r="DL21" s="1029"/>
      <c r="DM21" s="1073"/>
      <c r="DN21" s="1043"/>
      <c r="DO21" s="1045"/>
      <c r="DP21" s="1035"/>
      <c r="DQ21" s="1037"/>
      <c r="DR21" s="1037"/>
      <c r="DS21" s="1037"/>
      <c r="DT21" s="1039"/>
      <c r="DU21" s="1041"/>
      <c r="DV21" s="1041"/>
      <c r="DW21" s="1041"/>
      <c r="DX21" s="1054"/>
      <c r="DY21" s="1049"/>
      <c r="DZ21" s="1050"/>
      <c r="EA21" s="1023"/>
      <c r="EB21" s="1025"/>
      <c r="EC21" s="1025"/>
      <c r="ED21" s="1025"/>
      <c r="EE21" s="1027"/>
      <c r="EF21" s="1029"/>
      <c r="EG21" s="1029"/>
      <c r="EH21" s="1029"/>
      <c r="EI21" s="1073"/>
      <c r="EJ21" s="1043"/>
      <c r="EK21" s="1045"/>
      <c r="EL21" s="1035"/>
      <c r="EM21" s="1037"/>
      <c r="EN21" s="1037"/>
      <c r="EO21" s="1037"/>
      <c r="EP21" s="1039"/>
      <c r="EQ21" s="1041"/>
      <c r="ER21" s="1041"/>
      <c r="ES21" s="1041"/>
      <c r="ET21" s="1054"/>
      <c r="EU21" s="1023"/>
      <c r="EV21" s="1023"/>
      <c r="EW21" s="1023"/>
      <c r="EX21" s="1025"/>
      <c r="EY21" s="1025"/>
      <c r="EZ21" s="1025"/>
      <c r="FA21" s="1027"/>
      <c r="FB21" s="1029"/>
      <c r="FC21" s="1029"/>
      <c r="FD21" s="1029"/>
      <c r="FE21" s="1073"/>
      <c r="FF21" s="1043"/>
      <c r="FG21" s="1045"/>
      <c r="FH21" s="1035"/>
      <c r="FI21" s="1037"/>
      <c r="FJ21" s="1037"/>
      <c r="FK21" s="1037"/>
      <c r="FL21" s="1039"/>
      <c r="FM21" s="1041"/>
      <c r="FN21" s="1041"/>
      <c r="FO21" s="1041"/>
      <c r="FP21" s="1054"/>
      <c r="FQ21" s="1050"/>
      <c r="FR21" s="1050"/>
      <c r="FS21" s="470" t="s">
        <v>40</v>
      </c>
      <c r="FT21" s="471" t="s">
        <v>41</v>
      </c>
      <c r="FU21" s="471" t="s">
        <v>42</v>
      </c>
      <c r="FV21" s="472" t="s">
        <v>43</v>
      </c>
      <c r="FW21" s="470" t="s">
        <v>44</v>
      </c>
    </row>
    <row r="22" spans="1:288" s="486" customFormat="1" ht="17.100000000000001" customHeight="1">
      <c r="A22" s="474">
        <v>1</v>
      </c>
      <c r="B22" s="11"/>
      <c r="C22" s="11"/>
      <c r="D22" s="475"/>
      <c r="E22" s="476"/>
      <c r="F22" s="476"/>
      <c r="G22" s="476"/>
      <c r="H22" s="476"/>
      <c r="I22" s="476"/>
      <c r="J22" s="476"/>
      <c r="K22" s="476"/>
      <c r="L22" s="477"/>
      <c r="M22" s="11"/>
      <c r="N22" s="11"/>
      <c r="O22" s="11"/>
      <c r="P22" s="478"/>
      <c r="Q22" s="478"/>
      <c r="R22" s="478"/>
      <c r="S22" s="476"/>
      <c r="T22" s="476"/>
      <c r="U22" s="476"/>
      <c r="V22" s="476"/>
      <c r="W22" s="476"/>
      <c r="X22" s="479">
        <v>1</v>
      </c>
      <c r="Y22" s="479"/>
      <c r="Z22" s="11"/>
      <c r="AA22" s="480"/>
      <c r="AB22" s="480"/>
      <c r="AC22" s="480"/>
      <c r="AD22" s="481"/>
      <c r="AE22" s="481"/>
      <c r="AF22" s="482"/>
      <c r="AG22" s="482"/>
      <c r="AH22" s="482"/>
      <c r="AI22" s="482"/>
      <c r="AJ22" s="482"/>
      <c r="AK22" s="479">
        <v>1</v>
      </c>
      <c r="AL22" s="479"/>
      <c r="AM22" s="11"/>
      <c r="AN22" s="478"/>
      <c r="AO22" s="478"/>
      <c r="AP22" s="476"/>
      <c r="AQ22" s="476"/>
      <c r="AR22" s="476"/>
      <c r="AS22" s="476"/>
      <c r="AT22" s="476"/>
      <c r="AU22" s="476"/>
      <c r="AV22" s="11"/>
      <c r="AW22" s="11"/>
      <c r="AX22" s="483"/>
      <c r="AY22" s="478"/>
      <c r="AZ22" s="478"/>
      <c r="BA22" s="484"/>
      <c r="BB22" s="484"/>
      <c r="BC22" s="484"/>
      <c r="BD22" s="484"/>
      <c r="BE22" s="484"/>
      <c r="BF22" s="476"/>
      <c r="BG22" s="476"/>
      <c r="BH22" s="476"/>
      <c r="BI22" s="476"/>
      <c r="BJ22" s="476"/>
      <c r="BK22" s="479"/>
      <c r="BL22" s="479"/>
      <c r="BM22" s="11"/>
      <c r="BN22" s="478"/>
      <c r="BO22" s="478"/>
      <c r="BP22" s="476"/>
      <c r="BQ22" s="476"/>
      <c r="BR22" s="476"/>
      <c r="BS22" s="476"/>
      <c r="BT22" s="476"/>
      <c r="BU22" s="476"/>
      <c r="BV22" s="479"/>
      <c r="BW22" s="479"/>
      <c r="BX22" s="11"/>
      <c r="BY22" s="478"/>
      <c r="BZ22" s="478"/>
      <c r="CA22" s="476"/>
      <c r="CB22" s="476"/>
      <c r="CC22" s="476"/>
      <c r="CD22" s="476"/>
      <c r="CE22" s="476"/>
      <c r="CF22" s="476"/>
      <c r="CG22" s="479">
        <v>1</v>
      </c>
      <c r="CH22" s="479">
        <v>1</v>
      </c>
      <c r="CI22" s="11"/>
      <c r="CJ22" s="478"/>
      <c r="CK22" s="478"/>
      <c r="CL22" s="476"/>
      <c r="CM22" s="476"/>
      <c r="CN22" s="476"/>
      <c r="CO22" s="476"/>
      <c r="CP22" s="476"/>
      <c r="CQ22" s="476"/>
      <c r="CR22" s="479"/>
      <c r="CS22" s="479"/>
      <c r="CT22" s="11"/>
      <c r="CU22" s="478"/>
      <c r="CV22" s="478"/>
      <c r="CW22" s="476"/>
      <c r="CX22" s="476"/>
      <c r="CY22" s="476"/>
      <c r="CZ22" s="476"/>
      <c r="DA22" s="476"/>
      <c r="DB22" s="476"/>
      <c r="DC22" s="479"/>
      <c r="DD22" s="479"/>
      <c r="DE22" s="11"/>
      <c r="DF22" s="478"/>
      <c r="DG22" s="478"/>
      <c r="DH22" s="476"/>
      <c r="DI22" s="476"/>
      <c r="DJ22" s="476"/>
      <c r="DK22" s="476"/>
      <c r="DL22" s="476"/>
      <c r="DM22" s="476"/>
      <c r="DN22" s="479"/>
      <c r="DO22" s="479"/>
      <c r="DP22" s="11"/>
      <c r="DQ22" s="478"/>
      <c r="DR22" s="478"/>
      <c r="DS22" s="476"/>
      <c r="DT22" s="476"/>
      <c r="DU22" s="476"/>
      <c r="DV22" s="476"/>
      <c r="DW22" s="476"/>
      <c r="DX22" s="476"/>
      <c r="DY22" s="479"/>
      <c r="DZ22" s="479"/>
      <c r="EA22" s="11"/>
      <c r="EB22" s="478"/>
      <c r="EC22" s="478"/>
      <c r="ED22" s="476"/>
      <c r="EE22" s="476"/>
      <c r="EF22" s="476"/>
      <c r="EG22" s="476"/>
      <c r="EH22" s="476"/>
      <c r="EI22" s="476"/>
      <c r="EJ22" s="479"/>
      <c r="EK22" s="479"/>
      <c r="EL22" s="11"/>
      <c r="EM22" s="478"/>
      <c r="EN22" s="478"/>
      <c r="EO22" s="476"/>
      <c r="EP22" s="476"/>
      <c r="EQ22" s="476"/>
      <c r="ER22" s="476"/>
      <c r="ES22" s="476"/>
      <c r="ET22" s="476"/>
      <c r="EU22" s="479"/>
      <c r="EV22" s="479"/>
      <c r="EW22" s="11"/>
      <c r="EX22" s="478"/>
      <c r="EY22" s="478"/>
      <c r="EZ22" s="476"/>
      <c r="FA22" s="476"/>
      <c r="FB22" s="476"/>
      <c r="FC22" s="476"/>
      <c r="FD22" s="476"/>
      <c r="FE22" s="476"/>
      <c r="FF22" s="479"/>
      <c r="FG22" s="479"/>
      <c r="FH22" s="11"/>
      <c r="FI22" s="478"/>
      <c r="FJ22" s="478"/>
      <c r="FK22" s="476"/>
      <c r="FL22" s="476"/>
      <c r="FM22" s="476"/>
      <c r="FN22" s="476"/>
      <c r="FO22" s="476"/>
      <c r="FP22" s="476"/>
      <c r="FQ22" s="485">
        <f>SUM(FF22+EJ22+DY22+DN22+DC22+CR22+CG22+BV22+BK22+AV22+AK22+X22+M22+B22)</f>
        <v>3</v>
      </c>
      <c r="FR22" s="485">
        <f>C22+N22+Y22+AL22+AW22+BL22+BW22+CH22+CS22+DD22+DO22+DZ22+EK22+FG22</f>
        <v>1</v>
      </c>
      <c r="FS22" s="485">
        <f>SUM(FH22+EL22+EA22+DP22+DE22+CT22+CI22+BX22+BM22+AX22+AM22+Z22+O22+D22)</f>
        <v>0</v>
      </c>
      <c r="FT22" s="485">
        <f>SUM(FI22+EM22+EB22+DQ22+DF22+CU22+CJ22+BY22+BN22+AY22+AN22+AA22+P22+E22)</f>
        <v>0</v>
      </c>
      <c r="FU22" s="485">
        <f>SUM(FJ22+EN22+EC22+DR22+DG22+CV22+CK22+BZ22+BO22+AZ22+AO22+AB22+Q22+F22)</f>
        <v>0</v>
      </c>
      <c r="FV22" s="485">
        <f>SUM(FK22+EO22+ED22+DS22+DH22+CW22+CL22+CA22+BP22+BA22+AP22+AC22+R22+G22)</f>
        <v>0</v>
      </c>
      <c r="FW22" s="485">
        <f>FV22</f>
        <v>0</v>
      </c>
    </row>
    <row r="23" spans="1:288" s="490" customFormat="1" ht="16.5" customHeight="1">
      <c r="A23" s="475">
        <v>2</v>
      </c>
      <c r="B23" s="11"/>
      <c r="C23" s="11"/>
      <c r="D23" s="475"/>
      <c r="E23" s="476"/>
      <c r="F23" s="476"/>
      <c r="G23" s="476"/>
      <c r="H23" s="476"/>
      <c r="I23" s="476"/>
      <c r="J23" s="476"/>
      <c r="K23" s="476"/>
      <c r="L23" s="477"/>
      <c r="M23" s="11">
        <v>1</v>
      </c>
      <c r="N23" s="11">
        <v>1</v>
      </c>
      <c r="O23" s="11"/>
      <c r="P23" s="478"/>
      <c r="Q23" s="478"/>
      <c r="R23" s="478"/>
      <c r="S23" s="476"/>
      <c r="T23" s="476"/>
      <c r="U23" s="476"/>
      <c r="V23" s="476"/>
      <c r="W23" s="476"/>
      <c r="X23" s="11">
        <v>1</v>
      </c>
      <c r="Y23" s="11">
        <v>1</v>
      </c>
      <c r="Z23" s="11">
        <v>1</v>
      </c>
      <c r="AA23" s="478">
        <f>DS!Q8</f>
        <v>174500000</v>
      </c>
      <c r="AB23" s="478">
        <f>DS!S8</f>
        <v>174500000</v>
      </c>
      <c r="AC23" s="476">
        <f>DS!AC8</f>
        <v>157207207.2072072</v>
      </c>
      <c r="AD23" s="476"/>
      <c r="AE23" s="476"/>
      <c r="AF23" s="487"/>
      <c r="AG23" s="476">
        <f>DS!AC8</f>
        <v>157207207.2072072</v>
      </c>
      <c r="AH23" s="476"/>
      <c r="AI23" s="476"/>
      <c r="AJ23" s="476"/>
      <c r="AK23" s="11"/>
      <c r="AL23" s="11"/>
      <c r="AM23" s="11"/>
      <c r="AN23" s="478"/>
      <c r="AO23" s="478"/>
      <c r="AP23" s="478"/>
      <c r="AQ23" s="476"/>
      <c r="AR23" s="476"/>
      <c r="AS23" s="476"/>
      <c r="AT23" s="476"/>
      <c r="AU23" s="476"/>
      <c r="AV23" s="11">
        <v>1</v>
      </c>
      <c r="AW23" s="11">
        <v>1</v>
      </c>
      <c r="AX23" s="11"/>
      <c r="AY23" s="478"/>
      <c r="AZ23" s="478"/>
      <c r="BA23" s="478"/>
      <c r="BB23" s="478"/>
      <c r="BC23" s="478"/>
      <c r="BD23" s="478"/>
      <c r="BE23" s="478"/>
      <c r="BF23" s="476"/>
      <c r="BG23" s="478"/>
      <c r="BH23" s="476"/>
      <c r="BI23" s="476"/>
      <c r="BJ23" s="476"/>
      <c r="BK23" s="11">
        <v>1</v>
      </c>
      <c r="BL23" s="11">
        <v>1</v>
      </c>
      <c r="BM23" s="11"/>
      <c r="BN23" s="478"/>
      <c r="BO23" s="478"/>
      <c r="BP23" s="478"/>
      <c r="BQ23" s="476"/>
      <c r="BR23" s="476"/>
      <c r="BS23" s="476"/>
      <c r="BT23" s="476"/>
      <c r="BU23" s="476"/>
      <c r="BV23" s="11"/>
      <c r="BW23" s="11"/>
      <c r="BX23" s="11"/>
      <c r="BY23" s="478"/>
      <c r="BZ23" s="478"/>
      <c r="CA23" s="478"/>
      <c r="CB23" s="476"/>
      <c r="CC23" s="476"/>
      <c r="CD23" s="476"/>
      <c r="CE23" s="476"/>
      <c r="CF23" s="476"/>
      <c r="CG23" s="11">
        <v>1</v>
      </c>
      <c r="CH23" s="11">
        <v>1</v>
      </c>
      <c r="CI23" s="11"/>
      <c r="CJ23" s="478"/>
      <c r="CK23" s="478"/>
      <c r="CL23" s="478"/>
      <c r="CM23" s="476"/>
      <c r="CN23" s="476"/>
      <c r="CO23" s="476"/>
      <c r="CP23" s="476"/>
      <c r="CQ23" s="476"/>
      <c r="CR23" s="11">
        <v>1</v>
      </c>
      <c r="CS23" s="11">
        <v>1</v>
      </c>
      <c r="CT23" s="11"/>
      <c r="CU23" s="478"/>
      <c r="CV23" s="478"/>
      <c r="CW23" s="478"/>
      <c r="CX23" s="476"/>
      <c r="CY23" s="476"/>
      <c r="CZ23" s="476"/>
      <c r="DA23" s="476"/>
      <c r="DB23" s="476"/>
      <c r="DC23" s="11"/>
      <c r="DD23" s="11"/>
      <c r="DE23" s="11"/>
      <c r="DF23" s="478"/>
      <c r="DG23" s="478"/>
      <c r="DH23" s="478"/>
      <c r="DI23" s="476"/>
      <c r="DJ23" s="478"/>
      <c r="DK23" s="476"/>
      <c r="DL23" s="476"/>
      <c r="DM23" s="476"/>
      <c r="DN23" s="11"/>
      <c r="DO23" s="11"/>
      <c r="DP23" s="11"/>
      <c r="DQ23" s="478"/>
      <c r="DR23" s="478"/>
      <c r="DS23" s="478"/>
      <c r="DT23" s="476"/>
      <c r="DU23" s="476"/>
      <c r="DV23" s="476"/>
      <c r="DW23" s="476"/>
      <c r="DX23" s="476"/>
      <c r="DY23" s="11"/>
      <c r="DZ23" s="11"/>
      <c r="EA23" s="11"/>
      <c r="EB23" s="478"/>
      <c r="EC23" s="478"/>
      <c r="ED23" s="478"/>
      <c r="EE23" s="476"/>
      <c r="EF23" s="476"/>
      <c r="EG23" s="476"/>
      <c r="EH23" s="476"/>
      <c r="EI23" s="476"/>
      <c r="EJ23" s="11"/>
      <c r="EK23" s="11"/>
      <c r="EL23" s="11"/>
      <c r="EM23" s="478"/>
      <c r="EN23" s="478"/>
      <c r="EO23" s="478"/>
      <c r="EP23" s="476"/>
      <c r="EQ23" s="476"/>
      <c r="ER23" s="476"/>
      <c r="ES23" s="476"/>
      <c r="ET23" s="476"/>
      <c r="EU23" s="11"/>
      <c r="EV23" s="11"/>
      <c r="EW23" s="11"/>
      <c r="EX23" s="478"/>
      <c r="EY23" s="478"/>
      <c r="EZ23" s="478"/>
      <c r="FA23" s="476"/>
      <c r="FB23" s="476"/>
      <c r="FC23" s="476"/>
      <c r="FD23" s="476"/>
      <c r="FE23" s="476"/>
      <c r="FF23" s="11"/>
      <c r="FG23" s="11"/>
      <c r="FH23" s="11"/>
      <c r="FI23" s="478"/>
      <c r="FJ23" s="478"/>
      <c r="FK23" s="478"/>
      <c r="FL23" s="476"/>
      <c r="FM23" s="476"/>
      <c r="FN23" s="476"/>
      <c r="FO23" s="476"/>
      <c r="FP23" s="476"/>
      <c r="FQ23" s="488">
        <f>SUM(FF23+EJ23+DY23+DN23+DC23+CR23+CG23+BV23+BK23+AV23+AK23+X23+M23+B23)</f>
        <v>6</v>
      </c>
      <c r="FR23" s="489">
        <f t="shared" ref="FR23:FR53" si="0">C23+N23+Y23+AL23+AW23+BL23+BW23+CH23+CS23+DD23+DO23+DZ23+EK23+FG23</f>
        <v>6</v>
      </c>
      <c r="FS23" s="489">
        <f t="shared" ref="FS23:FS33" si="1">SUM(FH23+EL23+EA23+DP23+DE23+CT23+CI23+BX23+BM23+AX23+AM23+Z23+O23+D23)</f>
        <v>1</v>
      </c>
      <c r="FT23" s="489">
        <f t="shared" ref="FT23:FT33" si="2">SUM(FI23+EM23+EB23+DQ23+DF23+CU23+CJ23+BY23+BN23+AY23+AN23+AA23+P23+E23)</f>
        <v>174500000</v>
      </c>
      <c r="FU23" s="489">
        <f t="shared" ref="FU23:FU33" si="3">SUM(FJ23+EN23+EC23+DR23+DG23+CV23+CK23+BZ23+BO23+AZ23+AO23+AB23+Q23+F23)</f>
        <v>174500000</v>
      </c>
      <c r="FV23" s="489">
        <f t="shared" ref="FV23:FV33" si="4">SUM(FK23+EO23+ED23+DS23+DH23+CW23+CL23+CA23+BP23+BA23+AP23+AC23+R23+G23)</f>
        <v>157207207.2072072</v>
      </c>
      <c r="FW23" s="489">
        <f t="shared" ref="FW23:FW53" si="5">FV23</f>
        <v>157207207.2072072</v>
      </c>
    </row>
    <row r="24" spans="1:288" s="861" customFormat="1" ht="16.5" customHeight="1">
      <c r="A24" s="630">
        <v>3</v>
      </c>
      <c r="B24" s="631"/>
      <c r="C24" s="631"/>
      <c r="D24" s="630"/>
      <c r="E24" s="632"/>
      <c r="F24" s="632"/>
      <c r="G24" s="632"/>
      <c r="H24" s="632"/>
      <c r="I24" s="632"/>
      <c r="J24" s="632"/>
      <c r="K24" s="632"/>
      <c r="L24" s="633"/>
      <c r="M24" s="631">
        <v>1</v>
      </c>
      <c r="N24" s="631">
        <v>1</v>
      </c>
      <c r="O24" s="631">
        <v>1</v>
      </c>
      <c r="P24" s="634">
        <f>DS!Q26</f>
        <v>273000000</v>
      </c>
      <c r="Q24" s="634">
        <f>DS!S26</f>
        <v>273000000</v>
      </c>
      <c r="R24" s="634">
        <f>DS!AC26</f>
        <v>245945945.94594592</v>
      </c>
      <c r="S24" s="632"/>
      <c r="T24" s="632">
        <f>DS!AC26</f>
        <v>245945945.94594592</v>
      </c>
      <c r="U24" s="632"/>
      <c r="V24" s="632"/>
      <c r="W24" s="632"/>
      <c r="X24" s="631">
        <v>1</v>
      </c>
      <c r="Y24" s="631">
        <v>1</v>
      </c>
      <c r="Z24" s="631"/>
      <c r="AA24" s="634"/>
      <c r="AB24" s="634"/>
      <c r="AC24" s="634"/>
      <c r="AD24" s="632"/>
      <c r="AE24" s="632"/>
      <c r="AF24" s="632"/>
      <c r="AG24" s="634"/>
      <c r="AH24" s="632"/>
      <c r="AI24" s="632"/>
      <c r="AJ24" s="632"/>
      <c r="AK24" s="631">
        <v>1</v>
      </c>
      <c r="AL24" s="631">
        <v>1</v>
      </c>
      <c r="AM24" s="631">
        <v>1</v>
      </c>
      <c r="AN24" s="634">
        <f>DS!Q12</f>
        <v>107900000</v>
      </c>
      <c r="AO24" s="634">
        <f>DS!S12</f>
        <v>107900000</v>
      </c>
      <c r="AP24" s="632">
        <f>DS!AC12</f>
        <v>97207207.207207203</v>
      </c>
      <c r="AQ24" s="632"/>
      <c r="AR24" s="632">
        <f>DS!AC12</f>
        <v>97207207.207207203</v>
      </c>
      <c r="AS24" s="632"/>
      <c r="AT24" s="632"/>
      <c r="AU24" s="632"/>
      <c r="AV24" s="631">
        <v>1</v>
      </c>
      <c r="AW24" s="631">
        <v>1</v>
      </c>
      <c r="AX24" s="631">
        <v>4</v>
      </c>
      <c r="AY24" s="634">
        <f>DS!Q15+DS!Q16+DS!Q17+DS!Q18</f>
        <v>1004300000</v>
      </c>
      <c r="AZ24" s="634">
        <f>DS!S15+DS!S16+DS!S17+DS!S18</f>
        <v>1004300000</v>
      </c>
      <c r="BA24" s="634">
        <f>DS!AC15+DS!AC16+DS!AC17+DS!AC18</f>
        <v>904774774.77477467</v>
      </c>
      <c r="BB24" s="634"/>
      <c r="BC24" s="634"/>
      <c r="BD24" s="634"/>
      <c r="BE24" s="634"/>
      <c r="BF24" s="634">
        <f>DS!AC15+DS!AC16+DS!AC17+DS!AC18</f>
        <v>904774774.77477467</v>
      </c>
      <c r="BG24" s="634"/>
      <c r="BH24" s="632"/>
      <c r="BI24" s="632"/>
      <c r="BJ24" s="632"/>
      <c r="BK24" s="631">
        <v>1</v>
      </c>
      <c r="BL24" s="631">
        <v>1</v>
      </c>
      <c r="BM24" s="631">
        <v>1</v>
      </c>
      <c r="BN24" s="634">
        <f>DS!Q22</f>
        <v>574000000</v>
      </c>
      <c r="BO24" s="634">
        <f>DS!S22</f>
        <v>574000000</v>
      </c>
      <c r="BP24" s="634">
        <f>DS!AC22</f>
        <v>517117117.11711705</v>
      </c>
      <c r="BQ24" s="632"/>
      <c r="BR24" s="632">
        <f>DS!AC22</f>
        <v>517117117.11711705</v>
      </c>
      <c r="BS24" s="632"/>
      <c r="BT24" s="632"/>
      <c r="BU24" s="632"/>
      <c r="BV24" s="631">
        <v>1</v>
      </c>
      <c r="BW24" s="631">
        <v>1</v>
      </c>
      <c r="BX24" s="631"/>
      <c r="BY24" s="634"/>
      <c r="BZ24" s="634"/>
      <c r="CA24" s="632"/>
      <c r="CB24" s="632"/>
      <c r="CC24" s="632"/>
      <c r="CD24" s="632"/>
      <c r="CE24" s="632"/>
      <c r="CF24" s="632"/>
      <c r="CG24" s="631">
        <v>1</v>
      </c>
      <c r="CH24" s="631">
        <v>1</v>
      </c>
      <c r="CI24" s="631"/>
      <c r="CJ24" s="634"/>
      <c r="CK24" s="631"/>
      <c r="CL24" s="634"/>
      <c r="CM24" s="632"/>
      <c r="CN24" s="632"/>
      <c r="CO24" s="632"/>
      <c r="CP24" s="632"/>
      <c r="CQ24" s="632"/>
      <c r="CR24" s="631">
        <v>2</v>
      </c>
      <c r="CS24" s="631">
        <v>1</v>
      </c>
      <c r="CT24" s="631"/>
      <c r="CU24" s="634"/>
      <c r="CV24" s="634"/>
      <c r="CW24" s="632"/>
      <c r="CX24" s="632"/>
      <c r="CY24" s="632"/>
      <c r="CZ24" s="632"/>
      <c r="DA24" s="632"/>
      <c r="DB24" s="632"/>
      <c r="DC24" s="631"/>
      <c r="DD24" s="631"/>
      <c r="DE24" s="631"/>
      <c r="DF24" s="634"/>
      <c r="DG24" s="634"/>
      <c r="DH24" s="632"/>
      <c r="DI24" s="632"/>
      <c r="DJ24" s="632"/>
      <c r="DK24" s="632"/>
      <c r="DL24" s="632"/>
      <c r="DM24" s="632"/>
      <c r="DN24" s="631"/>
      <c r="DO24" s="631"/>
      <c r="DP24" s="631"/>
      <c r="DQ24" s="634"/>
      <c r="DR24" s="634"/>
      <c r="DS24" s="632"/>
      <c r="DT24" s="632"/>
      <c r="DU24" s="632"/>
      <c r="DV24" s="632"/>
      <c r="DW24" s="632"/>
      <c r="DX24" s="632"/>
      <c r="DY24" s="631"/>
      <c r="DZ24" s="631"/>
      <c r="EA24" s="631"/>
      <c r="EB24" s="634"/>
      <c r="EC24" s="634"/>
      <c r="ED24" s="632"/>
      <c r="EE24" s="632"/>
      <c r="EF24" s="632"/>
      <c r="EG24" s="632"/>
      <c r="EH24" s="632"/>
      <c r="EI24" s="632"/>
      <c r="EJ24" s="631"/>
      <c r="EK24" s="631"/>
      <c r="EL24" s="631"/>
      <c r="EM24" s="634"/>
      <c r="EN24" s="634"/>
      <c r="EO24" s="632"/>
      <c r="EP24" s="632"/>
      <c r="EQ24" s="632"/>
      <c r="ER24" s="632"/>
      <c r="ES24" s="632"/>
      <c r="ET24" s="632"/>
      <c r="EU24" s="631"/>
      <c r="EV24" s="631"/>
      <c r="EW24" s="631"/>
      <c r="EX24" s="634"/>
      <c r="EY24" s="634"/>
      <c r="EZ24" s="632"/>
      <c r="FA24" s="632"/>
      <c r="FB24" s="632"/>
      <c r="FC24" s="632"/>
      <c r="FD24" s="632"/>
      <c r="FE24" s="632"/>
      <c r="FF24" s="631"/>
      <c r="FG24" s="631"/>
      <c r="FH24" s="631"/>
      <c r="FI24" s="634"/>
      <c r="FJ24" s="634"/>
      <c r="FK24" s="632"/>
      <c r="FL24" s="632"/>
      <c r="FM24" s="632"/>
      <c r="FN24" s="632"/>
      <c r="FO24" s="632"/>
      <c r="FP24" s="632"/>
      <c r="FQ24" s="635">
        <f>SUM(FF24+EJ24+DY24+DN24+DC24+CR24+CG24+BV24+BK24+AV24+AK24+X24+M24+B24)</f>
        <v>9</v>
      </c>
      <c r="FR24" s="635">
        <f t="shared" si="0"/>
        <v>8</v>
      </c>
      <c r="FS24" s="635">
        <f t="shared" si="1"/>
        <v>7</v>
      </c>
      <c r="FT24" s="635">
        <f t="shared" si="2"/>
        <v>1959200000</v>
      </c>
      <c r="FU24" s="635">
        <f t="shared" si="3"/>
        <v>1959200000</v>
      </c>
      <c r="FV24" s="635">
        <f t="shared" si="4"/>
        <v>1765045045.0450449</v>
      </c>
      <c r="FW24" s="635">
        <f t="shared" si="5"/>
        <v>1765045045.0450449</v>
      </c>
    </row>
    <row r="25" spans="1:288" s="636" customFormat="1" ht="17.100000000000001" customHeight="1">
      <c r="A25" s="630">
        <v>4</v>
      </c>
      <c r="B25" s="631"/>
      <c r="C25" s="631"/>
      <c r="D25" s="630"/>
      <c r="E25" s="632"/>
      <c r="F25" s="632"/>
      <c r="G25" s="632"/>
      <c r="H25" s="632"/>
      <c r="I25" s="632"/>
      <c r="J25" s="632"/>
      <c r="K25" s="632"/>
      <c r="L25" s="633"/>
      <c r="M25" s="631"/>
      <c r="N25" s="631"/>
      <c r="O25" s="631"/>
      <c r="P25" s="634"/>
      <c r="Q25" s="634"/>
      <c r="R25" s="634"/>
      <c r="S25" s="632"/>
      <c r="T25" s="634"/>
      <c r="U25" s="632"/>
      <c r="V25" s="632"/>
      <c r="W25" s="632"/>
      <c r="X25" s="631">
        <v>3</v>
      </c>
      <c r="Y25" s="631">
        <v>3</v>
      </c>
      <c r="Z25" s="631"/>
      <c r="AA25" s="634"/>
      <c r="AB25" s="634"/>
      <c r="AC25" s="634"/>
      <c r="AD25" s="634"/>
      <c r="AE25" s="634"/>
      <c r="AF25" s="634"/>
      <c r="AG25" s="632"/>
      <c r="AH25" s="632"/>
      <c r="AI25" s="632"/>
      <c r="AJ25" s="632"/>
      <c r="AK25" s="631">
        <v>1</v>
      </c>
      <c r="AL25" s="631">
        <v>1</v>
      </c>
      <c r="AM25" s="631">
        <v>2</v>
      </c>
      <c r="AN25" s="634">
        <f>DS!Q30+DS!Q31</f>
        <v>1656100000</v>
      </c>
      <c r="AO25" s="634">
        <f>DS!S30+DS!S31</f>
        <v>1490490000</v>
      </c>
      <c r="AP25" s="634">
        <f>DS!AC30+DS!AC31</f>
        <v>1342783783.7837837</v>
      </c>
      <c r="AQ25" s="632"/>
      <c r="AR25" s="634"/>
      <c r="AS25" s="632"/>
      <c r="AT25" s="632">
        <f>DS!AC30+DS!AC31</f>
        <v>1342783783.7837837</v>
      </c>
      <c r="AU25" s="632"/>
      <c r="AV25" s="631"/>
      <c r="AW25" s="631"/>
      <c r="AX25" s="631"/>
      <c r="AY25" s="634"/>
      <c r="AZ25" s="634"/>
      <c r="BA25" s="634"/>
      <c r="BB25" s="634"/>
      <c r="BC25" s="634"/>
      <c r="BD25" s="634"/>
      <c r="BE25" s="634"/>
      <c r="BF25" s="632"/>
      <c r="BG25" s="632"/>
      <c r="BH25" s="632"/>
      <c r="BI25" s="632"/>
      <c r="BJ25" s="632"/>
      <c r="BK25" s="631">
        <v>4</v>
      </c>
      <c r="BL25" s="631">
        <v>4</v>
      </c>
      <c r="BM25" s="631">
        <v>1</v>
      </c>
      <c r="BN25" s="634">
        <f>SMI!Q7</f>
        <v>235200000</v>
      </c>
      <c r="BO25" s="631">
        <f>SMI!S7</f>
        <v>235200000</v>
      </c>
      <c r="BP25" s="634">
        <f>SMI!AB7</f>
        <v>211891891.89189187</v>
      </c>
      <c r="BQ25" s="632"/>
      <c r="BR25" s="632"/>
      <c r="BS25" s="632"/>
      <c r="BT25" s="632"/>
      <c r="BU25" s="632"/>
      <c r="BV25" s="631"/>
      <c r="BW25" s="631"/>
      <c r="BX25" s="631"/>
      <c r="BY25" s="634"/>
      <c r="BZ25" s="631"/>
      <c r="CA25" s="634"/>
      <c r="CB25" s="632"/>
      <c r="CC25" s="632"/>
      <c r="CD25" s="632"/>
      <c r="CE25" s="632"/>
      <c r="CF25" s="632"/>
      <c r="CG25" s="631"/>
      <c r="CH25" s="631"/>
      <c r="CI25" s="631"/>
      <c r="CJ25" s="634"/>
      <c r="CK25" s="631"/>
      <c r="CL25" s="634"/>
      <c r="CM25" s="632"/>
      <c r="CN25" s="632"/>
      <c r="CO25" s="632"/>
      <c r="CP25" s="632"/>
      <c r="CQ25" s="632"/>
      <c r="CR25" s="631">
        <v>2</v>
      </c>
      <c r="CS25" s="631">
        <v>2</v>
      </c>
      <c r="CT25" s="631"/>
      <c r="CU25" s="634"/>
      <c r="CV25" s="634"/>
      <c r="CW25" s="634"/>
      <c r="CX25" s="632"/>
      <c r="CY25" s="632"/>
      <c r="CZ25" s="632"/>
      <c r="DA25" s="634"/>
      <c r="DB25" s="632"/>
      <c r="DC25" s="631"/>
      <c r="DD25" s="631"/>
      <c r="DE25" s="631"/>
      <c r="DF25" s="634"/>
      <c r="DG25" s="631"/>
      <c r="DH25" s="634"/>
      <c r="DI25" s="632"/>
      <c r="DJ25" s="632"/>
      <c r="DK25" s="632"/>
      <c r="DL25" s="632"/>
      <c r="DM25" s="632"/>
      <c r="DN25" s="631"/>
      <c r="DO25" s="631"/>
      <c r="DP25" s="631"/>
      <c r="DQ25" s="634"/>
      <c r="DR25" s="631"/>
      <c r="DS25" s="634"/>
      <c r="DT25" s="632"/>
      <c r="DU25" s="632"/>
      <c r="DV25" s="632"/>
      <c r="DW25" s="632"/>
      <c r="DX25" s="632"/>
      <c r="DY25" s="631"/>
      <c r="DZ25" s="631"/>
      <c r="EA25" s="631"/>
      <c r="EB25" s="634"/>
      <c r="EC25" s="631"/>
      <c r="ED25" s="634"/>
      <c r="EE25" s="632"/>
      <c r="EF25" s="632"/>
      <c r="EG25" s="632"/>
      <c r="EH25" s="632"/>
      <c r="EI25" s="632"/>
      <c r="EJ25" s="631"/>
      <c r="EK25" s="631"/>
      <c r="EL25" s="631"/>
      <c r="EM25" s="634"/>
      <c r="EN25" s="631"/>
      <c r="EO25" s="634"/>
      <c r="EP25" s="632"/>
      <c r="EQ25" s="632"/>
      <c r="ER25" s="632"/>
      <c r="ES25" s="632"/>
      <c r="ET25" s="632"/>
      <c r="EU25" s="631"/>
      <c r="EV25" s="631"/>
      <c r="EW25" s="631"/>
      <c r="EX25" s="634"/>
      <c r="EY25" s="631"/>
      <c r="EZ25" s="634"/>
      <c r="FA25" s="632"/>
      <c r="FB25" s="632"/>
      <c r="FC25" s="632"/>
      <c r="FD25" s="632"/>
      <c r="FE25" s="632"/>
      <c r="FF25" s="631"/>
      <c r="FG25" s="631"/>
      <c r="FH25" s="631"/>
      <c r="FI25" s="634"/>
      <c r="FJ25" s="631"/>
      <c r="FK25" s="634"/>
      <c r="FL25" s="632"/>
      <c r="FM25" s="632"/>
      <c r="FN25" s="632"/>
      <c r="FO25" s="632"/>
      <c r="FP25" s="632"/>
      <c r="FQ25" s="635">
        <f>SUM(FF25+EJ25+DY25+DN25+DC25+CR25+CG25+BV25+BK25+AV25+AK25+X25+M25+B25)</f>
        <v>10</v>
      </c>
      <c r="FR25" s="635">
        <f t="shared" si="0"/>
        <v>10</v>
      </c>
      <c r="FS25" s="635">
        <f t="shared" si="1"/>
        <v>3</v>
      </c>
      <c r="FT25" s="635">
        <f t="shared" si="2"/>
        <v>1891300000</v>
      </c>
      <c r="FU25" s="635">
        <f t="shared" si="3"/>
        <v>1725690000</v>
      </c>
      <c r="FV25" s="635">
        <f t="shared" si="4"/>
        <v>1554675675.6756756</v>
      </c>
      <c r="FW25" s="635">
        <f t="shared" si="5"/>
        <v>1554675675.6756756</v>
      </c>
    </row>
    <row r="26" spans="1:288" s="712" customFormat="1" ht="17.100000000000001" customHeight="1">
      <c r="A26" s="475">
        <v>5</v>
      </c>
      <c r="B26" s="11"/>
      <c r="C26" s="11"/>
      <c r="D26" s="475"/>
      <c r="E26" s="476"/>
      <c r="F26" s="476"/>
      <c r="G26" s="476"/>
      <c r="H26" s="476"/>
      <c r="I26" s="476"/>
      <c r="J26" s="476"/>
      <c r="K26" s="476"/>
      <c r="L26" s="477"/>
      <c r="M26" s="11"/>
      <c r="N26" s="11"/>
      <c r="O26" s="11"/>
      <c r="P26" s="478"/>
      <c r="Q26" s="478"/>
      <c r="R26" s="478"/>
      <c r="S26" s="476"/>
      <c r="T26" s="476"/>
      <c r="U26" s="476"/>
      <c r="V26" s="476"/>
      <c r="W26" s="476"/>
      <c r="X26" s="11">
        <v>2</v>
      </c>
      <c r="Y26" s="11">
        <v>1</v>
      </c>
      <c r="Z26" s="11"/>
      <c r="AA26" s="478"/>
      <c r="AB26" s="478"/>
      <c r="AC26" s="881"/>
      <c r="AD26" s="881"/>
      <c r="AE26" s="881"/>
      <c r="AF26" s="476"/>
      <c r="AG26" s="476"/>
      <c r="AH26" s="476"/>
      <c r="AI26" s="476"/>
      <c r="AJ26" s="476"/>
      <c r="AK26" s="11">
        <v>1</v>
      </c>
      <c r="AL26" s="11"/>
      <c r="AM26" s="11"/>
      <c r="AN26" s="478"/>
      <c r="AO26" s="478"/>
      <c r="AP26" s="476"/>
      <c r="AQ26" s="476"/>
      <c r="AR26" s="476"/>
      <c r="AS26" s="476"/>
      <c r="AT26" s="476"/>
      <c r="AU26" s="476"/>
      <c r="AV26" s="11">
        <v>2</v>
      </c>
      <c r="AW26" s="11">
        <v>2</v>
      </c>
      <c r="AX26" s="11">
        <v>5</v>
      </c>
      <c r="AY26" s="478">
        <f>DS!Q40+DS!Q51+DS!Q52+DS!Q53+DS!Q54</f>
        <v>523700000</v>
      </c>
      <c r="AZ26" s="478">
        <f>DS!S40+DS!S51+DS!S52+DS!S53+DS!S54</f>
        <v>523700000</v>
      </c>
      <c r="BA26" s="476">
        <f>DS!AC40+DS!AC51+DS!AC52+DS!AC53+DS!AC54</f>
        <v>471801801.80180174</v>
      </c>
      <c r="BB26" s="476"/>
      <c r="BC26" s="476">
        <f>DS!AC40</f>
        <v>137207207.2072072</v>
      </c>
      <c r="BD26" s="476"/>
      <c r="BE26" s="476"/>
      <c r="BF26" s="476">
        <f>DS!AC51+DS!AC52+DS!AC53+DS!AC54</f>
        <v>334594594.59459454</v>
      </c>
      <c r="BG26" s="476"/>
      <c r="BH26" s="476"/>
      <c r="BI26" s="476"/>
      <c r="BJ26" s="476"/>
      <c r="BK26" s="11"/>
      <c r="BL26" s="11"/>
      <c r="BM26" s="11"/>
      <c r="BN26" s="478"/>
      <c r="BO26" s="478"/>
      <c r="BP26" s="478"/>
      <c r="BQ26" s="476"/>
      <c r="BR26" s="478"/>
      <c r="BS26" s="476"/>
      <c r="BT26" s="476"/>
      <c r="BU26" s="476"/>
      <c r="BV26" s="11">
        <v>3</v>
      </c>
      <c r="BW26" s="11">
        <v>2</v>
      </c>
      <c r="BX26" s="11">
        <v>2</v>
      </c>
      <c r="BY26" s="478">
        <f>DS!Q36+DS!Q37</f>
        <v>48820000</v>
      </c>
      <c r="BZ26" s="478">
        <f>DS!S36+DS!S37</f>
        <v>48820000</v>
      </c>
      <c r="CA26" s="476">
        <f>DS!AC36+DS!AC37</f>
        <v>43981981.981981978</v>
      </c>
      <c r="CB26" s="476"/>
      <c r="CC26" s="476">
        <f>DS!AC37</f>
        <v>42072072.072072066</v>
      </c>
      <c r="CD26" s="476"/>
      <c r="CE26" s="476"/>
      <c r="CF26" s="476"/>
      <c r="CG26" s="11">
        <v>2</v>
      </c>
      <c r="CH26" s="11">
        <v>2</v>
      </c>
      <c r="CI26" s="11">
        <v>2</v>
      </c>
      <c r="CJ26" s="478">
        <f>DS!Q45+DS!Q48</f>
        <v>150400000</v>
      </c>
      <c r="CK26" s="478">
        <f>DS!S45+DS!S48</f>
        <v>150400000</v>
      </c>
      <c r="CL26" s="478">
        <f>DS!AC45+DS!AC48</f>
        <v>135495495.49549547</v>
      </c>
      <c r="CM26" s="476"/>
      <c r="CN26" s="476">
        <f>DS!AC45+DS!AC48</f>
        <v>135495495.49549547</v>
      </c>
      <c r="CO26" s="476"/>
      <c r="CP26" s="476"/>
      <c r="CQ26" s="476"/>
      <c r="CR26" s="11"/>
      <c r="CS26" s="11"/>
      <c r="CT26" s="11"/>
      <c r="CU26" s="478"/>
      <c r="CV26" s="478"/>
      <c r="CW26" s="476"/>
      <c r="CX26" s="476"/>
      <c r="CY26" s="476"/>
      <c r="CZ26" s="476"/>
      <c r="DA26" s="476"/>
      <c r="DB26" s="476"/>
      <c r="DC26" s="11">
        <v>2</v>
      </c>
      <c r="DD26" s="11">
        <v>2</v>
      </c>
      <c r="DE26" s="11"/>
      <c r="DF26" s="478"/>
      <c r="DG26" s="478"/>
      <c r="DH26" s="476"/>
      <c r="DI26" s="476"/>
      <c r="DJ26" s="476"/>
      <c r="DK26" s="476"/>
      <c r="DL26" s="476"/>
      <c r="DM26" s="476"/>
      <c r="DN26" s="11"/>
      <c r="DO26" s="11"/>
      <c r="DP26" s="11"/>
      <c r="DQ26" s="478"/>
      <c r="DR26" s="478"/>
      <c r="DS26" s="476"/>
      <c r="DT26" s="476"/>
      <c r="DU26" s="476"/>
      <c r="DV26" s="476"/>
      <c r="DW26" s="476"/>
      <c r="DX26" s="476"/>
      <c r="DY26" s="11"/>
      <c r="DZ26" s="11"/>
      <c r="EA26" s="11"/>
      <c r="EB26" s="478"/>
      <c r="EC26" s="478"/>
      <c r="ED26" s="476"/>
      <c r="EE26" s="476"/>
      <c r="EF26" s="476"/>
      <c r="EG26" s="476"/>
      <c r="EH26" s="476"/>
      <c r="EI26" s="476"/>
      <c r="EJ26" s="11"/>
      <c r="EK26" s="11"/>
      <c r="EL26" s="11"/>
      <c r="EM26" s="478"/>
      <c r="EN26" s="478"/>
      <c r="EO26" s="476"/>
      <c r="EP26" s="476"/>
      <c r="EQ26" s="476"/>
      <c r="ER26" s="476"/>
      <c r="ES26" s="476"/>
      <c r="ET26" s="476"/>
      <c r="EU26" s="11"/>
      <c r="EV26" s="11"/>
      <c r="EW26" s="11"/>
      <c r="EX26" s="478"/>
      <c r="EY26" s="478"/>
      <c r="EZ26" s="476"/>
      <c r="FA26" s="476"/>
      <c r="FB26" s="476"/>
      <c r="FC26" s="476"/>
      <c r="FD26" s="476"/>
      <c r="FE26" s="476"/>
      <c r="FF26" s="11"/>
      <c r="FG26" s="11"/>
      <c r="FH26" s="11"/>
      <c r="FI26" s="478"/>
      <c r="FJ26" s="478"/>
      <c r="FK26" s="476"/>
      <c r="FL26" s="476"/>
      <c r="FM26" s="476"/>
      <c r="FN26" s="476"/>
      <c r="FO26" s="476"/>
      <c r="FP26" s="476"/>
      <c r="FQ26" s="488">
        <f>FF26+EJ26+DY26+DN26+DC26+CR26+CG26+BV26+BK26+AV26+AK26+X26+M26+B26</f>
        <v>12</v>
      </c>
      <c r="FR26" s="488">
        <f t="shared" si="0"/>
        <v>9</v>
      </c>
      <c r="FS26" s="488">
        <f t="shared" si="1"/>
        <v>9</v>
      </c>
      <c r="FT26" s="488">
        <f t="shared" si="2"/>
        <v>722920000</v>
      </c>
      <c r="FU26" s="488">
        <f t="shared" si="3"/>
        <v>722920000</v>
      </c>
      <c r="FV26" s="882">
        <f t="shared" si="4"/>
        <v>651279279.27927923</v>
      </c>
      <c r="FW26" s="882">
        <f t="shared" si="5"/>
        <v>651279279.27927923</v>
      </c>
    </row>
    <row r="27" spans="1:288" s="861" customFormat="1" ht="17.100000000000001" customHeight="1">
      <c r="A27" s="630">
        <v>6</v>
      </c>
      <c r="B27" s="631"/>
      <c r="C27" s="631"/>
      <c r="D27" s="630"/>
      <c r="E27" s="632"/>
      <c r="F27" s="632"/>
      <c r="G27" s="632"/>
      <c r="H27" s="632"/>
      <c r="I27" s="632"/>
      <c r="J27" s="632"/>
      <c r="K27" s="632"/>
      <c r="L27" s="633"/>
      <c r="M27" s="631">
        <v>2</v>
      </c>
      <c r="N27" s="631">
        <v>2</v>
      </c>
      <c r="O27" s="631">
        <v>1</v>
      </c>
      <c r="P27" s="634">
        <f>DS!Q58</f>
        <v>371000000</v>
      </c>
      <c r="Q27" s="634">
        <f>DS!S58</f>
        <v>371000000</v>
      </c>
      <c r="R27" s="634">
        <f>DS!AC58</f>
        <v>334234234.23423421</v>
      </c>
      <c r="S27" s="632"/>
      <c r="T27" s="634">
        <f>DS!AC58</f>
        <v>334234234.23423421</v>
      </c>
      <c r="U27" s="632"/>
      <c r="V27" s="632"/>
      <c r="W27" s="632"/>
      <c r="X27" s="631"/>
      <c r="Y27" s="631"/>
      <c r="Z27" s="631"/>
      <c r="AA27" s="634"/>
      <c r="AB27" s="634"/>
      <c r="AC27" s="634"/>
      <c r="AD27" s="634"/>
      <c r="AE27" s="634"/>
      <c r="AF27" s="634"/>
      <c r="AG27" s="632"/>
      <c r="AH27" s="632"/>
      <c r="AI27" s="632"/>
      <c r="AJ27" s="632"/>
      <c r="AK27" s="631"/>
      <c r="AL27" s="631"/>
      <c r="AM27" s="631"/>
      <c r="AN27" s="634"/>
      <c r="AO27" s="634"/>
      <c r="AP27" s="632"/>
      <c r="AQ27" s="632"/>
      <c r="AR27" s="632"/>
      <c r="AS27" s="632"/>
      <c r="AT27" s="632"/>
      <c r="AU27" s="632"/>
      <c r="AV27" s="631">
        <v>5</v>
      </c>
      <c r="AW27" s="631">
        <v>3</v>
      </c>
      <c r="AX27" s="631">
        <v>1</v>
      </c>
      <c r="AY27" s="634">
        <f>DS!Q64</f>
        <v>107900000</v>
      </c>
      <c r="AZ27" s="634">
        <f>DS!S64</f>
        <v>107900000</v>
      </c>
      <c r="BA27" s="634">
        <f>DS!AC64</f>
        <v>97207207.207207203</v>
      </c>
      <c r="BB27" s="634"/>
      <c r="BC27" s="634"/>
      <c r="BD27" s="634"/>
      <c r="BE27" s="634"/>
      <c r="BF27" s="632">
        <f>DS!AC64</f>
        <v>97207207.207207203</v>
      </c>
      <c r="BG27" s="634"/>
      <c r="BH27" s="632"/>
      <c r="BI27" s="632"/>
      <c r="BJ27" s="632"/>
      <c r="BK27" s="631">
        <v>6</v>
      </c>
      <c r="BL27" s="631">
        <v>5</v>
      </c>
      <c r="BM27" s="631"/>
      <c r="BN27" s="634"/>
      <c r="BO27" s="634"/>
      <c r="BP27" s="634"/>
      <c r="BQ27" s="632"/>
      <c r="BR27" s="634"/>
      <c r="BS27" s="632"/>
      <c r="BT27" s="632"/>
      <c r="BU27" s="632"/>
      <c r="BV27" s="631">
        <v>2</v>
      </c>
      <c r="BW27" s="631">
        <v>2</v>
      </c>
      <c r="BX27" s="631">
        <v>2</v>
      </c>
      <c r="BY27" s="634">
        <f>DS!Q60+DS!Q72</f>
        <v>230100000</v>
      </c>
      <c r="BZ27" s="634">
        <f>DS!S60+DS!S72</f>
        <v>230100000</v>
      </c>
      <c r="CA27" s="634">
        <f>DS!AC60+DS!AC72</f>
        <v>207297297.2972973</v>
      </c>
      <c r="CB27" s="632"/>
      <c r="CC27" s="634">
        <f>DS!AC60+DS!AC72</f>
        <v>207297297.2972973</v>
      </c>
      <c r="CD27" s="632"/>
      <c r="CE27" s="632"/>
      <c r="CF27" s="632"/>
      <c r="CG27" s="631">
        <v>2</v>
      </c>
      <c r="CH27" s="631">
        <v>2</v>
      </c>
      <c r="CI27" s="631">
        <v>1</v>
      </c>
      <c r="CJ27" s="634">
        <f>DS!Q68</f>
        <v>76100000</v>
      </c>
      <c r="CK27" s="634">
        <f>DS!S68</f>
        <v>76100000</v>
      </c>
      <c r="CL27" s="632">
        <f>DS!AC68</f>
        <v>68558558.558558553</v>
      </c>
      <c r="CM27" s="632"/>
      <c r="CN27" s="632">
        <f>DS!AC68</f>
        <v>68558558.558558553</v>
      </c>
      <c r="CO27" s="632"/>
      <c r="CP27" s="632"/>
      <c r="CQ27" s="632"/>
      <c r="CR27" s="631"/>
      <c r="CS27" s="631"/>
      <c r="CT27" s="631"/>
      <c r="CU27" s="634"/>
      <c r="CV27" s="634"/>
      <c r="CW27" s="634"/>
      <c r="CX27" s="632"/>
      <c r="CY27" s="634"/>
      <c r="CZ27" s="632"/>
      <c r="DA27" s="632"/>
      <c r="DB27" s="632"/>
      <c r="DC27" s="631">
        <v>4</v>
      </c>
      <c r="DD27" s="631">
        <v>4</v>
      </c>
      <c r="DE27" s="631"/>
      <c r="DF27" s="634"/>
      <c r="DG27" s="634"/>
      <c r="DH27" s="634"/>
      <c r="DI27" s="632"/>
      <c r="DJ27" s="634"/>
      <c r="DK27" s="632"/>
      <c r="DL27" s="632"/>
      <c r="DM27" s="632"/>
      <c r="DN27" s="631"/>
      <c r="DO27" s="631"/>
      <c r="DP27" s="631"/>
      <c r="DQ27" s="634"/>
      <c r="DR27" s="634"/>
      <c r="DS27" s="632"/>
      <c r="DT27" s="632"/>
      <c r="DU27" s="632"/>
      <c r="DV27" s="632"/>
      <c r="DW27" s="632"/>
      <c r="DX27" s="632"/>
      <c r="DY27" s="631"/>
      <c r="DZ27" s="631"/>
      <c r="EA27" s="631"/>
      <c r="EB27" s="634"/>
      <c r="EC27" s="634"/>
      <c r="ED27" s="632"/>
      <c r="EE27" s="632"/>
      <c r="EF27" s="632"/>
      <c r="EG27" s="632"/>
      <c r="EH27" s="632"/>
      <c r="EI27" s="632"/>
      <c r="EJ27" s="631"/>
      <c r="EK27" s="631"/>
      <c r="EL27" s="631"/>
      <c r="EM27" s="634"/>
      <c r="EN27" s="634"/>
      <c r="EO27" s="632"/>
      <c r="EP27" s="632"/>
      <c r="EQ27" s="632"/>
      <c r="ER27" s="632"/>
      <c r="ES27" s="632"/>
      <c r="ET27" s="632"/>
      <c r="EU27" s="631"/>
      <c r="EV27" s="631"/>
      <c r="EW27" s="631"/>
      <c r="EX27" s="634"/>
      <c r="EY27" s="634"/>
      <c r="EZ27" s="632"/>
      <c r="FA27" s="632"/>
      <c r="FB27" s="632"/>
      <c r="FC27" s="632"/>
      <c r="FD27" s="632"/>
      <c r="FE27" s="632"/>
      <c r="FF27" s="631"/>
      <c r="FG27" s="631"/>
      <c r="FH27" s="631"/>
      <c r="FI27" s="634"/>
      <c r="FJ27" s="634"/>
      <c r="FK27" s="632"/>
      <c r="FL27" s="632"/>
      <c r="FM27" s="632"/>
      <c r="FN27" s="632"/>
      <c r="FO27" s="632"/>
      <c r="FP27" s="632"/>
      <c r="FQ27" s="635">
        <f t="shared" ref="FQ27:FQ33" si="6">SUM(FF27+EJ27+DY27+DN27+DC27+CR27+CG27+BV27+BK27+AV27+AK27+X27+M27+B27)</f>
        <v>21</v>
      </c>
      <c r="FR27" s="635">
        <f t="shared" si="0"/>
        <v>18</v>
      </c>
      <c r="FS27" s="635">
        <f t="shared" si="1"/>
        <v>5</v>
      </c>
      <c r="FT27" s="635">
        <f t="shared" si="2"/>
        <v>785100000</v>
      </c>
      <c r="FU27" s="635">
        <f t="shared" si="3"/>
        <v>785100000</v>
      </c>
      <c r="FV27" s="635">
        <f t="shared" si="4"/>
        <v>707297297.29729724</v>
      </c>
      <c r="FW27" s="635">
        <f t="shared" si="5"/>
        <v>707297297.29729724</v>
      </c>
    </row>
    <row r="28" spans="1:288" s="636" customFormat="1" ht="16.5" customHeight="1">
      <c r="A28" s="630">
        <v>7</v>
      </c>
      <c r="B28" s="631"/>
      <c r="C28" s="631"/>
      <c r="D28" s="630"/>
      <c r="E28" s="632"/>
      <c r="F28" s="632"/>
      <c r="G28" s="632"/>
      <c r="H28" s="632"/>
      <c r="I28" s="632"/>
      <c r="J28" s="632"/>
      <c r="K28" s="632"/>
      <c r="L28" s="633"/>
      <c r="M28" s="631"/>
      <c r="N28" s="631"/>
      <c r="O28" s="631"/>
      <c r="P28" s="634"/>
      <c r="Q28" s="634"/>
      <c r="R28" s="634"/>
      <c r="S28" s="632"/>
      <c r="T28" s="632"/>
      <c r="U28" s="632"/>
      <c r="V28" s="632"/>
      <c r="W28" s="632"/>
      <c r="X28" s="631">
        <v>1</v>
      </c>
      <c r="Y28" s="631">
        <v>1</v>
      </c>
      <c r="Z28" s="631"/>
      <c r="AA28" s="634"/>
      <c r="AB28" s="634"/>
      <c r="AC28" s="632"/>
      <c r="AD28" s="632"/>
      <c r="AE28" s="632"/>
      <c r="AF28" s="632"/>
      <c r="AG28" s="632"/>
      <c r="AH28" s="632"/>
      <c r="AI28" s="632"/>
      <c r="AJ28" s="632"/>
      <c r="AK28" s="631"/>
      <c r="AL28" s="631"/>
      <c r="AM28" s="631"/>
      <c r="AN28" s="634"/>
      <c r="AO28" s="634"/>
      <c r="AP28" s="634"/>
      <c r="AQ28" s="632"/>
      <c r="AR28" s="634"/>
      <c r="AS28" s="632"/>
      <c r="AT28" s="632"/>
      <c r="AU28" s="632"/>
      <c r="AV28" s="631"/>
      <c r="AW28" s="631"/>
      <c r="AX28" s="631"/>
      <c r="AY28" s="634"/>
      <c r="AZ28" s="634"/>
      <c r="BA28" s="885"/>
      <c r="BB28" s="885"/>
      <c r="BC28" s="885"/>
      <c r="BD28" s="885"/>
      <c r="BE28" s="885"/>
      <c r="BF28" s="632"/>
      <c r="BG28" s="632"/>
      <c r="BH28" s="632"/>
      <c r="BI28" s="632"/>
      <c r="BJ28" s="632"/>
      <c r="BK28" s="631">
        <v>2</v>
      </c>
      <c r="BL28" s="631">
        <v>2</v>
      </c>
      <c r="BM28" s="631">
        <v>1</v>
      </c>
      <c r="BN28" s="634">
        <f>DS!Q75</f>
        <v>75100000</v>
      </c>
      <c r="BO28" s="634">
        <f>DS!S75</f>
        <v>75100000</v>
      </c>
      <c r="BP28" s="632">
        <f>DS!AC75</f>
        <v>67657657.657657653</v>
      </c>
      <c r="BQ28" s="632"/>
      <c r="BR28" s="632">
        <f>DS!AC75</f>
        <v>67657657.657657653</v>
      </c>
      <c r="BS28" s="632"/>
      <c r="BT28" s="632"/>
      <c r="BU28" s="632"/>
      <c r="BV28" s="631"/>
      <c r="BW28" s="631"/>
      <c r="BX28" s="631"/>
      <c r="BY28" s="634"/>
      <c r="BZ28" s="634"/>
      <c r="CA28" s="632"/>
      <c r="CB28" s="632"/>
      <c r="CC28" s="632"/>
      <c r="CD28" s="632"/>
      <c r="CE28" s="632"/>
      <c r="CF28" s="632"/>
      <c r="CG28" s="631"/>
      <c r="CH28" s="631"/>
      <c r="CI28" s="631"/>
      <c r="CJ28" s="634"/>
      <c r="CK28" s="634"/>
      <c r="CL28" s="632"/>
      <c r="CM28" s="632"/>
      <c r="CN28" s="632"/>
      <c r="CO28" s="632"/>
      <c r="CP28" s="632"/>
      <c r="CQ28" s="632"/>
      <c r="CR28" s="631"/>
      <c r="CS28" s="631"/>
      <c r="CT28" s="631"/>
      <c r="CU28" s="634"/>
      <c r="CV28" s="634"/>
      <c r="CW28" s="632"/>
      <c r="CX28" s="632"/>
      <c r="CY28" s="632"/>
      <c r="CZ28" s="632"/>
      <c r="DA28" s="632"/>
      <c r="DB28" s="632"/>
      <c r="DC28" s="631">
        <v>3</v>
      </c>
      <c r="DD28" s="631">
        <v>3</v>
      </c>
      <c r="DE28" s="631">
        <v>2</v>
      </c>
      <c r="DF28" s="634">
        <f>DS!Q78+DS!Q81</f>
        <v>172900000</v>
      </c>
      <c r="DG28" s="634">
        <f>DS!S78+DS!S81</f>
        <v>172900000</v>
      </c>
      <c r="DH28" s="632">
        <f>DS!AC78+DS!AC81</f>
        <v>155765765.76576576</v>
      </c>
      <c r="DI28" s="632"/>
      <c r="DJ28" s="632">
        <f>DS!AC78+DS!AC81</f>
        <v>155765765.76576576</v>
      </c>
      <c r="DK28" s="632"/>
      <c r="DL28" s="632"/>
      <c r="DM28" s="632"/>
      <c r="DN28" s="631"/>
      <c r="DO28" s="631"/>
      <c r="DP28" s="631"/>
      <c r="DQ28" s="634"/>
      <c r="DR28" s="634"/>
      <c r="DS28" s="632"/>
      <c r="DT28" s="632"/>
      <c r="DU28" s="632"/>
      <c r="DV28" s="632"/>
      <c r="DW28" s="632"/>
      <c r="DX28" s="632"/>
      <c r="DY28" s="631"/>
      <c r="DZ28" s="631"/>
      <c r="EA28" s="631"/>
      <c r="EB28" s="634"/>
      <c r="EC28" s="634"/>
      <c r="ED28" s="632"/>
      <c r="EE28" s="632"/>
      <c r="EF28" s="632"/>
      <c r="EG28" s="632"/>
      <c r="EH28" s="632"/>
      <c r="EI28" s="632"/>
      <c r="EJ28" s="631"/>
      <c r="EK28" s="631"/>
      <c r="EL28" s="631"/>
      <c r="EM28" s="634"/>
      <c r="EN28" s="634"/>
      <c r="EO28" s="632"/>
      <c r="EP28" s="632"/>
      <c r="EQ28" s="632"/>
      <c r="ER28" s="632"/>
      <c r="ES28" s="632"/>
      <c r="ET28" s="632"/>
      <c r="EU28" s="631"/>
      <c r="EV28" s="631"/>
      <c r="EW28" s="631"/>
      <c r="EX28" s="634"/>
      <c r="EY28" s="634"/>
      <c r="EZ28" s="632"/>
      <c r="FA28" s="632"/>
      <c r="FB28" s="632"/>
      <c r="FC28" s="632"/>
      <c r="FD28" s="632"/>
      <c r="FE28" s="632"/>
      <c r="FF28" s="631"/>
      <c r="FG28" s="631"/>
      <c r="FH28" s="631"/>
      <c r="FI28" s="634"/>
      <c r="FJ28" s="634"/>
      <c r="FK28" s="632"/>
      <c r="FL28" s="632"/>
      <c r="FM28" s="632"/>
      <c r="FN28" s="632"/>
      <c r="FO28" s="632"/>
      <c r="FP28" s="632"/>
      <c r="FQ28" s="635">
        <f t="shared" si="6"/>
        <v>6</v>
      </c>
      <c r="FR28" s="635">
        <f t="shared" si="0"/>
        <v>6</v>
      </c>
      <c r="FS28" s="635">
        <f t="shared" si="1"/>
        <v>3</v>
      </c>
      <c r="FT28" s="635">
        <f t="shared" si="2"/>
        <v>248000000</v>
      </c>
      <c r="FU28" s="635">
        <f t="shared" si="3"/>
        <v>248000000</v>
      </c>
      <c r="FV28" s="635">
        <f t="shared" si="4"/>
        <v>223423423.42342341</v>
      </c>
      <c r="FW28" s="635">
        <f t="shared" si="5"/>
        <v>223423423.42342341</v>
      </c>
    </row>
    <row r="29" spans="1:288" s="712" customFormat="1" ht="17.100000000000001" customHeight="1">
      <c r="A29" s="475">
        <v>8</v>
      </c>
      <c r="B29" s="11"/>
      <c r="C29" s="11"/>
      <c r="D29" s="475"/>
      <c r="E29" s="476"/>
      <c r="F29" s="476"/>
      <c r="G29" s="886"/>
      <c r="H29" s="476"/>
      <c r="I29" s="476"/>
      <c r="J29" s="476"/>
      <c r="K29" s="476"/>
      <c r="L29" s="477"/>
      <c r="M29" s="11"/>
      <c r="N29" s="11"/>
      <c r="O29" s="11"/>
      <c r="P29" s="478"/>
      <c r="Q29" s="478"/>
      <c r="R29" s="476"/>
      <c r="S29" s="476"/>
      <c r="T29" s="476"/>
      <c r="U29" s="476"/>
      <c r="V29" s="476"/>
      <c r="W29" s="476"/>
      <c r="X29" s="11">
        <v>1</v>
      </c>
      <c r="Y29" s="11">
        <v>1</v>
      </c>
      <c r="Z29" s="11">
        <v>1</v>
      </c>
      <c r="AA29" s="478">
        <f>DS!Q87</f>
        <v>67500000</v>
      </c>
      <c r="AB29" s="478">
        <f>DS!S87</f>
        <v>67500000</v>
      </c>
      <c r="AC29" s="478">
        <f>DS!AC87</f>
        <v>60810810.810810804</v>
      </c>
      <c r="AD29" s="478"/>
      <c r="AE29" s="478"/>
      <c r="AF29" s="478"/>
      <c r="AG29" s="476">
        <f>DS!AC87</f>
        <v>60810810.810810804</v>
      </c>
      <c r="AH29" s="476"/>
      <c r="AI29" s="476"/>
      <c r="AJ29" s="476"/>
      <c r="AK29" s="11">
        <v>2</v>
      </c>
      <c r="AL29" s="11">
        <v>1</v>
      </c>
      <c r="AM29" s="11"/>
      <c r="AN29" s="478"/>
      <c r="AO29" s="478"/>
      <c r="AP29" s="478"/>
      <c r="AQ29" s="476"/>
      <c r="AR29" s="476"/>
      <c r="AS29" s="476"/>
      <c r="AT29" s="476"/>
      <c r="AU29" s="476"/>
      <c r="AV29" s="11"/>
      <c r="AW29" s="11"/>
      <c r="AX29" s="11"/>
      <c r="AY29" s="478"/>
      <c r="AZ29" s="478"/>
      <c r="BA29" s="887"/>
      <c r="BB29" s="887"/>
      <c r="BC29" s="887"/>
      <c r="BD29" s="887"/>
      <c r="BE29" s="887"/>
      <c r="BF29" s="476"/>
      <c r="BG29" s="476"/>
      <c r="BH29" s="476"/>
      <c r="BI29" s="476"/>
      <c r="BJ29" s="476"/>
      <c r="BK29" s="11"/>
      <c r="BL29" s="11"/>
      <c r="BM29" s="11"/>
      <c r="BN29" s="478"/>
      <c r="BO29" s="478"/>
      <c r="BP29" s="478"/>
      <c r="BQ29" s="476"/>
      <c r="BR29" s="478"/>
      <c r="BS29" s="476"/>
      <c r="BT29" s="476"/>
      <c r="BU29" s="476"/>
      <c r="BV29" s="11">
        <v>1</v>
      </c>
      <c r="BW29" s="11">
        <v>1</v>
      </c>
      <c r="BX29" s="11"/>
      <c r="BY29" s="478"/>
      <c r="BZ29" s="478"/>
      <c r="CA29" s="478"/>
      <c r="CB29" s="476"/>
      <c r="CC29" s="478"/>
      <c r="CD29" s="476"/>
      <c r="CE29" s="476"/>
      <c r="CF29" s="476"/>
      <c r="CG29" s="11">
        <v>1</v>
      </c>
      <c r="CH29" s="11">
        <v>1</v>
      </c>
      <c r="CI29" s="11">
        <v>1</v>
      </c>
      <c r="CJ29" s="478">
        <f>DS!Q84</f>
        <v>813700000</v>
      </c>
      <c r="CK29" s="478">
        <f>DS!S84</f>
        <v>773015000</v>
      </c>
      <c r="CL29" s="478">
        <f>DS!AC84</f>
        <v>696409909.90990984</v>
      </c>
      <c r="CM29" s="476"/>
      <c r="CN29" s="476"/>
      <c r="CO29" s="476"/>
      <c r="CP29" s="476">
        <f>DS!AC84</f>
        <v>696409909.90990984</v>
      </c>
      <c r="CQ29" s="476"/>
      <c r="CR29" s="11">
        <v>2</v>
      </c>
      <c r="CS29" s="11">
        <v>2</v>
      </c>
      <c r="CT29" s="11"/>
      <c r="CU29" s="478"/>
      <c r="CV29" s="478"/>
      <c r="CW29" s="478"/>
      <c r="CX29" s="476"/>
      <c r="CY29" s="476"/>
      <c r="CZ29" s="476"/>
      <c r="DA29" s="476"/>
      <c r="DB29" s="476"/>
      <c r="DC29" s="11"/>
      <c r="DD29" s="11"/>
      <c r="DE29" s="11"/>
      <c r="DF29" s="478"/>
      <c r="DG29" s="478"/>
      <c r="DH29" s="478"/>
      <c r="DI29" s="476"/>
      <c r="DJ29" s="476"/>
      <c r="DK29" s="476"/>
      <c r="DL29" s="476"/>
      <c r="DM29" s="476"/>
      <c r="DN29" s="11"/>
      <c r="DO29" s="11"/>
      <c r="DP29" s="11"/>
      <c r="DQ29" s="478"/>
      <c r="DR29" s="478"/>
      <c r="DS29" s="478"/>
      <c r="DT29" s="476"/>
      <c r="DU29" s="476"/>
      <c r="DV29" s="476"/>
      <c r="DW29" s="476"/>
      <c r="DX29" s="476"/>
      <c r="DY29" s="11"/>
      <c r="DZ29" s="11"/>
      <c r="EA29" s="11"/>
      <c r="EB29" s="478"/>
      <c r="EC29" s="478"/>
      <c r="ED29" s="478"/>
      <c r="EE29" s="476"/>
      <c r="EF29" s="476"/>
      <c r="EG29" s="476"/>
      <c r="EH29" s="476"/>
      <c r="EI29" s="476"/>
      <c r="EJ29" s="11"/>
      <c r="EK29" s="11"/>
      <c r="EL29" s="11"/>
      <c r="EM29" s="478"/>
      <c r="EN29" s="478"/>
      <c r="EO29" s="478"/>
      <c r="EP29" s="476"/>
      <c r="EQ29" s="476"/>
      <c r="ER29" s="476"/>
      <c r="ES29" s="476"/>
      <c r="ET29" s="476"/>
      <c r="EU29" s="11"/>
      <c r="EV29" s="11"/>
      <c r="EW29" s="11"/>
      <c r="EX29" s="478"/>
      <c r="EY29" s="478"/>
      <c r="EZ29" s="478"/>
      <c r="FA29" s="476"/>
      <c r="FB29" s="476"/>
      <c r="FC29" s="476"/>
      <c r="FD29" s="476"/>
      <c r="FE29" s="476"/>
      <c r="FF29" s="11"/>
      <c r="FG29" s="11"/>
      <c r="FH29" s="11"/>
      <c r="FI29" s="478"/>
      <c r="FJ29" s="478"/>
      <c r="FK29" s="478"/>
      <c r="FL29" s="476"/>
      <c r="FM29" s="476"/>
      <c r="FN29" s="476"/>
      <c r="FO29" s="476"/>
      <c r="FP29" s="476"/>
      <c r="FQ29" s="488">
        <f t="shared" si="6"/>
        <v>7</v>
      </c>
      <c r="FR29" s="488">
        <f t="shared" si="0"/>
        <v>6</v>
      </c>
      <c r="FS29" s="488">
        <f t="shared" si="1"/>
        <v>2</v>
      </c>
      <c r="FT29" s="488">
        <f t="shared" si="2"/>
        <v>881200000</v>
      </c>
      <c r="FU29" s="488">
        <f t="shared" si="3"/>
        <v>840515000</v>
      </c>
      <c r="FV29" s="488">
        <f t="shared" si="4"/>
        <v>757220720.72072065</v>
      </c>
      <c r="FW29" s="488">
        <f t="shared" si="5"/>
        <v>757220720.72072065</v>
      </c>
    </row>
    <row r="30" spans="1:288" s="636" customFormat="1" ht="17.100000000000001" customHeight="1">
      <c r="A30" s="630">
        <v>9</v>
      </c>
      <c r="B30" s="631"/>
      <c r="C30" s="631"/>
      <c r="D30" s="630"/>
      <c r="E30" s="632"/>
      <c r="F30" s="632"/>
      <c r="G30" s="632"/>
      <c r="H30" s="632"/>
      <c r="I30" s="632"/>
      <c r="J30" s="632"/>
      <c r="K30" s="632"/>
      <c r="L30" s="633"/>
      <c r="M30" s="631">
        <v>1</v>
      </c>
      <c r="N30" s="631"/>
      <c r="O30" s="631"/>
      <c r="P30" s="634"/>
      <c r="Q30" s="634"/>
      <c r="R30" s="632"/>
      <c r="S30" s="632"/>
      <c r="T30" s="632"/>
      <c r="U30" s="632"/>
      <c r="V30" s="632"/>
      <c r="W30" s="632"/>
      <c r="X30" s="631">
        <v>1</v>
      </c>
      <c r="Y30" s="631">
        <v>1</v>
      </c>
      <c r="Z30" s="631">
        <v>1</v>
      </c>
      <c r="AA30" s="634">
        <f>DS!Q93</f>
        <v>121500000</v>
      </c>
      <c r="AB30" s="634">
        <f>DS!S93</f>
        <v>121500000</v>
      </c>
      <c r="AC30" s="632">
        <f>DS!AC93</f>
        <v>109459459.45945945</v>
      </c>
      <c r="AD30" s="632"/>
      <c r="AE30" s="632"/>
      <c r="AF30" s="632"/>
      <c r="AG30" s="632">
        <f>DS!AC93</f>
        <v>109459459.45945945</v>
      </c>
      <c r="AH30" s="632"/>
      <c r="AI30" s="632"/>
      <c r="AJ30" s="632"/>
      <c r="AK30" s="631">
        <v>1</v>
      </c>
      <c r="AL30" s="631"/>
      <c r="AM30" s="631"/>
      <c r="AN30" s="634"/>
      <c r="AO30" s="634"/>
      <c r="AP30" s="632"/>
      <c r="AQ30" s="632"/>
      <c r="AR30" s="632"/>
      <c r="AS30" s="632"/>
      <c r="AT30" s="632"/>
      <c r="AU30" s="632"/>
      <c r="AV30" s="631">
        <v>1</v>
      </c>
      <c r="AW30" s="631"/>
      <c r="AX30" s="631"/>
      <c r="AY30" s="634"/>
      <c r="AZ30" s="634"/>
      <c r="BA30" s="634"/>
      <c r="BB30" s="634"/>
      <c r="BC30" s="634"/>
      <c r="BD30" s="634"/>
      <c r="BE30" s="634"/>
      <c r="BF30" s="632"/>
      <c r="BG30" s="634"/>
      <c r="BH30" s="632"/>
      <c r="BI30" s="632"/>
      <c r="BJ30" s="632"/>
      <c r="BK30" s="631">
        <v>2</v>
      </c>
      <c r="BL30" s="631">
        <v>1</v>
      </c>
      <c r="BM30" s="631">
        <v>1</v>
      </c>
      <c r="BN30" s="634">
        <f>DS!Q96</f>
        <v>76100000</v>
      </c>
      <c r="BO30" s="634">
        <f>DS!S96</f>
        <v>76100000</v>
      </c>
      <c r="BP30" s="632">
        <f>DS!AC96</f>
        <v>68558558.558558553</v>
      </c>
      <c r="BQ30" s="632"/>
      <c r="BR30" s="632">
        <f>DS!AC96</f>
        <v>68558558.558558553</v>
      </c>
      <c r="BS30" s="632"/>
      <c r="BT30" s="632"/>
      <c r="BU30" s="632"/>
      <c r="BV30" s="631">
        <v>1</v>
      </c>
      <c r="BW30" s="631"/>
      <c r="BX30" s="631"/>
      <c r="BY30" s="634"/>
      <c r="BZ30" s="634"/>
      <c r="CA30" s="632"/>
      <c r="CB30" s="632"/>
      <c r="CC30" s="632"/>
      <c r="CD30" s="632"/>
      <c r="CE30" s="632"/>
      <c r="CF30" s="632"/>
      <c r="CG30" s="631">
        <v>2</v>
      </c>
      <c r="CH30" s="631">
        <v>2</v>
      </c>
      <c r="CI30" s="631">
        <v>1</v>
      </c>
      <c r="CJ30" s="634">
        <f>DS!Q90</f>
        <v>1601600000</v>
      </c>
      <c r="CK30" s="634">
        <f>DS!S90</f>
        <v>1435000000</v>
      </c>
      <c r="CL30" s="632">
        <f>DS!AC90</f>
        <v>1292792792.7927928</v>
      </c>
      <c r="CM30" s="632"/>
      <c r="CN30" s="632"/>
      <c r="CO30" s="632">
        <f>DS!AC90</f>
        <v>1292792792.7927928</v>
      </c>
      <c r="CP30" s="632"/>
      <c r="CQ30" s="632"/>
      <c r="CR30" s="631"/>
      <c r="CS30" s="631"/>
      <c r="CT30" s="631"/>
      <c r="CU30" s="634"/>
      <c r="CV30" s="634"/>
      <c r="CW30" s="632"/>
      <c r="CX30" s="632"/>
      <c r="CY30" s="632"/>
      <c r="CZ30" s="632"/>
      <c r="DA30" s="632"/>
      <c r="DB30" s="632"/>
      <c r="DC30" s="631">
        <v>2</v>
      </c>
      <c r="DD30" s="631">
        <v>1</v>
      </c>
      <c r="DE30" s="631"/>
      <c r="DF30" s="634"/>
      <c r="DG30" s="634"/>
      <c r="DH30" s="632"/>
      <c r="DI30" s="632"/>
      <c r="DJ30" s="632"/>
      <c r="DK30" s="632"/>
      <c r="DL30" s="632"/>
      <c r="DM30" s="632"/>
      <c r="DN30" s="631"/>
      <c r="DO30" s="631"/>
      <c r="DP30" s="631"/>
      <c r="DQ30" s="634"/>
      <c r="DR30" s="634"/>
      <c r="DS30" s="632"/>
      <c r="DT30" s="632"/>
      <c r="DU30" s="632"/>
      <c r="DV30" s="632"/>
      <c r="DW30" s="632"/>
      <c r="DX30" s="632"/>
      <c r="DY30" s="631"/>
      <c r="DZ30" s="631"/>
      <c r="EA30" s="631"/>
      <c r="EB30" s="634"/>
      <c r="EC30" s="634"/>
      <c r="ED30" s="632"/>
      <c r="EE30" s="632"/>
      <c r="EF30" s="632"/>
      <c r="EG30" s="632"/>
      <c r="EH30" s="632"/>
      <c r="EI30" s="632"/>
      <c r="EJ30" s="631"/>
      <c r="EK30" s="631"/>
      <c r="EL30" s="631"/>
      <c r="EM30" s="634"/>
      <c r="EN30" s="634"/>
      <c r="EO30" s="632"/>
      <c r="EP30" s="632"/>
      <c r="EQ30" s="632"/>
      <c r="ER30" s="632"/>
      <c r="ES30" s="632"/>
      <c r="ET30" s="632"/>
      <c r="EU30" s="631"/>
      <c r="EV30" s="631"/>
      <c r="EW30" s="631"/>
      <c r="EX30" s="634"/>
      <c r="EY30" s="634"/>
      <c r="EZ30" s="632"/>
      <c r="FA30" s="632"/>
      <c r="FB30" s="632"/>
      <c r="FC30" s="632"/>
      <c r="FD30" s="632"/>
      <c r="FE30" s="632"/>
      <c r="FF30" s="631"/>
      <c r="FG30" s="631"/>
      <c r="FH30" s="631"/>
      <c r="FI30" s="634"/>
      <c r="FJ30" s="634"/>
      <c r="FK30" s="632"/>
      <c r="FL30" s="632"/>
      <c r="FM30" s="632"/>
      <c r="FN30" s="632"/>
      <c r="FO30" s="632"/>
      <c r="FP30" s="632"/>
      <c r="FQ30" s="635">
        <f t="shared" si="6"/>
        <v>11</v>
      </c>
      <c r="FR30" s="635">
        <f t="shared" si="0"/>
        <v>5</v>
      </c>
      <c r="FS30" s="635">
        <f>SUM(FH30+EL30+EA30+DP30+DE30+CT30+CI30+BX30+BM30+AX30+AM30+Z30+O30+D30+EW30)</f>
        <v>3</v>
      </c>
      <c r="FT30" s="635">
        <f>SUM(FI30+EM30+EB30+DQ30+DF30+CU30+CJ30+BY30+BN30+AY30+AN30+AA30+P30+E30+EX30)</f>
        <v>1799200000</v>
      </c>
      <c r="FU30" s="635">
        <f>SUM(FJ30+EN30+EC30+DR30+DG30+CV30+CK30+BZ30+BO30+AZ30+AO30+AB30+Q30+F30+EY30)</f>
        <v>1632600000</v>
      </c>
      <c r="FV30" s="635">
        <f>SUM(FK30+EO30+ED30+DS30+DH30+CW30+CL30+CA30+BP30+BA30+AP30+AC30+R30+G30+EZ30)</f>
        <v>1470810810.8108108</v>
      </c>
      <c r="FW30" s="635">
        <f t="shared" si="5"/>
        <v>1470810810.8108108</v>
      </c>
    </row>
    <row r="31" spans="1:288" s="636" customFormat="1" ht="17.100000000000001" customHeight="1">
      <c r="A31" s="630">
        <v>10</v>
      </c>
      <c r="B31" s="631"/>
      <c r="C31" s="631"/>
      <c r="D31" s="630"/>
      <c r="E31" s="632"/>
      <c r="F31" s="632"/>
      <c r="G31" s="632"/>
      <c r="H31" s="632"/>
      <c r="I31" s="632"/>
      <c r="J31" s="632"/>
      <c r="K31" s="632"/>
      <c r="L31" s="633"/>
      <c r="M31" s="631">
        <v>1</v>
      </c>
      <c r="N31" s="631"/>
      <c r="O31" s="631"/>
      <c r="P31" s="634"/>
      <c r="Q31" s="634"/>
      <c r="R31" s="634"/>
      <c r="S31" s="632"/>
      <c r="T31" s="634"/>
      <c r="U31" s="632"/>
      <c r="V31" s="632"/>
      <c r="W31" s="632"/>
      <c r="X31" s="631"/>
      <c r="Y31" s="631"/>
      <c r="Z31" s="631"/>
      <c r="AA31" s="634"/>
      <c r="AB31" s="634"/>
      <c r="AC31" s="634"/>
      <c r="AD31" s="634"/>
      <c r="AE31" s="634"/>
      <c r="AF31" s="632"/>
      <c r="AG31" s="632"/>
      <c r="AH31" s="632"/>
      <c r="AI31" s="632"/>
      <c r="AJ31" s="632"/>
      <c r="AK31" s="631"/>
      <c r="AL31" s="631"/>
      <c r="AM31" s="631"/>
      <c r="AN31" s="634"/>
      <c r="AO31" s="634"/>
      <c r="AP31" s="634"/>
      <c r="AQ31" s="632"/>
      <c r="AR31" s="632"/>
      <c r="AS31" s="632"/>
      <c r="AT31" s="632"/>
      <c r="AU31" s="632"/>
      <c r="AV31" s="631">
        <v>1</v>
      </c>
      <c r="AW31" s="631">
        <v>1</v>
      </c>
      <c r="AX31" s="631">
        <v>1</v>
      </c>
      <c r="AY31" s="634">
        <f>DS!Q99</f>
        <v>76100000</v>
      </c>
      <c r="AZ31" s="634">
        <f>DS!S99</f>
        <v>76100000</v>
      </c>
      <c r="BA31" s="634">
        <f>DS!AC99</f>
        <v>68558558.558558553</v>
      </c>
      <c r="BB31" s="634"/>
      <c r="BC31" s="634"/>
      <c r="BD31" s="634"/>
      <c r="BE31" s="634"/>
      <c r="BF31" s="634">
        <f>DS!AC99</f>
        <v>68558558.558558553</v>
      </c>
      <c r="BG31" s="632"/>
      <c r="BH31" s="632"/>
      <c r="BI31" s="632"/>
      <c r="BJ31" s="632"/>
      <c r="BK31" s="631">
        <v>1</v>
      </c>
      <c r="BL31" s="631">
        <v>1</v>
      </c>
      <c r="BM31" s="631">
        <v>1</v>
      </c>
      <c r="BN31" s="634">
        <f>DS!Q102</f>
        <v>42400000</v>
      </c>
      <c r="BO31" s="634">
        <f>DS!S102</f>
        <v>42400000</v>
      </c>
      <c r="BP31" s="634">
        <f>DS!AC102</f>
        <v>38198198.198198192</v>
      </c>
      <c r="BQ31" s="632"/>
      <c r="BR31" s="632">
        <f>DS!AC102</f>
        <v>38198198.198198192</v>
      </c>
      <c r="BS31" s="632"/>
      <c r="BT31" s="632"/>
      <c r="BU31" s="632"/>
      <c r="BV31" s="631">
        <v>1</v>
      </c>
      <c r="BW31" s="631">
        <v>1</v>
      </c>
      <c r="BX31" s="631">
        <v>1</v>
      </c>
      <c r="BY31" s="634">
        <f>DS!Q108</f>
        <v>85800000</v>
      </c>
      <c r="BZ31" s="634">
        <f>DS!S108</f>
        <v>85800000</v>
      </c>
      <c r="CA31" s="634">
        <f>DS!AC108</f>
        <v>77297297.297297284</v>
      </c>
      <c r="CB31" s="632"/>
      <c r="CC31" s="632">
        <f>DS!AC108</f>
        <v>77297297.297297284</v>
      </c>
      <c r="CD31" s="632"/>
      <c r="CE31" s="632"/>
      <c r="CF31" s="632"/>
      <c r="CG31" s="631"/>
      <c r="CH31" s="631"/>
      <c r="CI31" s="631"/>
      <c r="CJ31" s="634"/>
      <c r="CK31" s="634"/>
      <c r="CL31" s="634"/>
      <c r="CM31" s="632"/>
      <c r="CN31" s="632"/>
      <c r="CO31" s="632"/>
      <c r="CP31" s="632"/>
      <c r="CQ31" s="632"/>
      <c r="CR31" s="631"/>
      <c r="CS31" s="631"/>
      <c r="CT31" s="631"/>
      <c r="CU31" s="634"/>
      <c r="CV31" s="634"/>
      <c r="CW31" s="634"/>
      <c r="CX31" s="632"/>
      <c r="CY31" s="632"/>
      <c r="CZ31" s="632"/>
      <c r="DA31" s="632"/>
      <c r="DB31" s="632"/>
      <c r="DC31" s="631">
        <v>3</v>
      </c>
      <c r="DD31" s="631">
        <v>3</v>
      </c>
      <c r="DE31" s="631">
        <v>2</v>
      </c>
      <c r="DF31" s="634">
        <f>DS!Q105+DS!Q106</f>
        <v>223900000</v>
      </c>
      <c r="DG31" s="634">
        <f>DS!S105+DS!S106</f>
        <v>223900000</v>
      </c>
      <c r="DH31" s="634">
        <f>DS!AC105+DS!AC106</f>
        <v>201711711.7117117</v>
      </c>
      <c r="DI31" s="632"/>
      <c r="DJ31" s="632">
        <f>DS!AC105+DS!AC106</f>
        <v>201711711.7117117</v>
      </c>
      <c r="DK31" s="632"/>
      <c r="DL31" s="632"/>
      <c r="DM31" s="632"/>
      <c r="DN31" s="631"/>
      <c r="DO31" s="631"/>
      <c r="DP31" s="631"/>
      <c r="DQ31" s="634"/>
      <c r="DR31" s="634"/>
      <c r="DS31" s="634"/>
      <c r="DT31" s="632"/>
      <c r="DU31" s="632"/>
      <c r="DV31" s="632"/>
      <c r="DW31" s="632"/>
      <c r="DX31" s="632"/>
      <c r="DY31" s="631"/>
      <c r="DZ31" s="631"/>
      <c r="EA31" s="631"/>
      <c r="EB31" s="634"/>
      <c r="EC31" s="634"/>
      <c r="ED31" s="634"/>
      <c r="EE31" s="632"/>
      <c r="EF31" s="632"/>
      <c r="EG31" s="632"/>
      <c r="EH31" s="632"/>
      <c r="EI31" s="632"/>
      <c r="EJ31" s="631"/>
      <c r="EK31" s="631"/>
      <c r="EL31" s="631"/>
      <c r="EM31" s="634"/>
      <c r="EN31" s="634"/>
      <c r="EO31" s="634"/>
      <c r="EP31" s="632"/>
      <c r="EQ31" s="632"/>
      <c r="ER31" s="632"/>
      <c r="ES31" s="632"/>
      <c r="ET31" s="632"/>
      <c r="EU31" s="631"/>
      <c r="EV31" s="631"/>
      <c r="EW31" s="631"/>
      <c r="EX31" s="634"/>
      <c r="EY31" s="634"/>
      <c r="EZ31" s="634"/>
      <c r="FA31" s="632"/>
      <c r="FB31" s="632"/>
      <c r="FC31" s="632"/>
      <c r="FD31" s="632"/>
      <c r="FE31" s="632"/>
      <c r="FF31" s="631"/>
      <c r="FG31" s="631"/>
      <c r="FH31" s="631"/>
      <c r="FI31" s="634"/>
      <c r="FJ31" s="634"/>
      <c r="FK31" s="634"/>
      <c r="FL31" s="632"/>
      <c r="FM31" s="632"/>
      <c r="FN31" s="632"/>
      <c r="FO31" s="632"/>
      <c r="FP31" s="632"/>
      <c r="FQ31" s="635">
        <f t="shared" si="6"/>
        <v>7</v>
      </c>
      <c r="FR31" s="635">
        <f t="shared" si="0"/>
        <v>6</v>
      </c>
      <c r="FS31" s="635">
        <f t="shared" si="1"/>
        <v>5</v>
      </c>
      <c r="FT31" s="635">
        <f>SUM(FI31+EM31+EB31+DQ31+DF31+CU31+CJ31+BY31+BN31+AY31+AN31+AA31+P31+E31)</f>
        <v>428200000</v>
      </c>
      <c r="FU31" s="635">
        <f t="shared" si="3"/>
        <v>428200000</v>
      </c>
      <c r="FV31" s="635">
        <f t="shared" si="4"/>
        <v>385765765.76576579</v>
      </c>
      <c r="FW31" s="635">
        <f t="shared" si="5"/>
        <v>385765765.76576579</v>
      </c>
      <c r="GG31" s="861"/>
    </row>
    <row r="32" spans="1:288" s="636" customFormat="1" ht="17.100000000000001" customHeight="1">
      <c r="A32" s="630">
        <v>11</v>
      </c>
      <c r="B32" s="631"/>
      <c r="C32" s="631"/>
      <c r="D32" s="630"/>
      <c r="E32" s="632"/>
      <c r="F32" s="632"/>
      <c r="G32" s="632"/>
      <c r="H32" s="632"/>
      <c r="I32" s="632"/>
      <c r="J32" s="632"/>
      <c r="K32" s="632"/>
      <c r="L32" s="633"/>
      <c r="M32" s="631"/>
      <c r="N32" s="631"/>
      <c r="O32" s="631"/>
      <c r="P32" s="634"/>
      <c r="Q32" s="634"/>
      <c r="R32" s="634"/>
      <c r="S32" s="632"/>
      <c r="T32" s="632"/>
      <c r="U32" s="632"/>
      <c r="V32" s="632"/>
      <c r="W32" s="632"/>
      <c r="X32" s="631">
        <v>2</v>
      </c>
      <c r="Y32" s="631">
        <v>1</v>
      </c>
      <c r="Z32" s="631">
        <v>1</v>
      </c>
      <c r="AA32" s="634">
        <f>DS!Q115</f>
        <v>106000000</v>
      </c>
      <c r="AB32" s="634">
        <f>DS!S115</f>
        <v>106000000</v>
      </c>
      <c r="AC32" s="632">
        <f>DS!AC115</f>
        <v>95495495.495495483</v>
      </c>
      <c r="AD32" s="632"/>
      <c r="AE32" s="632"/>
      <c r="AF32" s="632"/>
      <c r="AG32" s="632">
        <f>DS!AC115</f>
        <v>95495495.495495483</v>
      </c>
      <c r="AH32" s="632"/>
      <c r="AI32" s="632"/>
      <c r="AJ32" s="632"/>
      <c r="AK32" s="631">
        <v>1</v>
      </c>
      <c r="AL32" s="631">
        <v>1</v>
      </c>
      <c r="AM32" s="631"/>
      <c r="AN32" s="634"/>
      <c r="AO32" s="634"/>
      <c r="AP32" s="634"/>
      <c r="AQ32" s="634"/>
      <c r="AR32" s="632"/>
      <c r="AS32" s="632"/>
      <c r="AT32" s="632"/>
      <c r="AU32" s="632"/>
      <c r="AV32" s="631">
        <v>2</v>
      </c>
      <c r="AW32" s="631">
        <v>1</v>
      </c>
      <c r="AX32" s="631"/>
      <c r="AY32" s="634"/>
      <c r="AZ32" s="634"/>
      <c r="BA32" s="634"/>
      <c r="BB32" s="634"/>
      <c r="BC32" s="634"/>
      <c r="BD32" s="634"/>
      <c r="BE32" s="634"/>
      <c r="BF32" s="632"/>
      <c r="BG32" s="632"/>
      <c r="BH32" s="632"/>
      <c r="BI32" s="632"/>
      <c r="BJ32" s="632"/>
      <c r="BK32" s="631"/>
      <c r="BL32" s="631"/>
      <c r="BM32" s="631"/>
      <c r="BN32" s="634"/>
      <c r="BO32" s="634"/>
      <c r="BP32" s="634"/>
      <c r="BQ32" s="634"/>
      <c r="BR32" s="632"/>
      <c r="BS32" s="632"/>
      <c r="BT32" s="632"/>
      <c r="BU32" s="632"/>
      <c r="BV32" s="631"/>
      <c r="BW32" s="631"/>
      <c r="BX32" s="631"/>
      <c r="BY32" s="634"/>
      <c r="BZ32" s="634"/>
      <c r="CA32" s="634"/>
      <c r="CB32" s="634"/>
      <c r="CC32" s="632"/>
      <c r="CD32" s="632"/>
      <c r="CE32" s="632"/>
      <c r="CF32" s="632"/>
      <c r="CG32" s="631">
        <v>1</v>
      </c>
      <c r="CH32" s="631">
        <v>1</v>
      </c>
      <c r="CI32" s="631">
        <v>1</v>
      </c>
      <c r="CJ32" s="634">
        <f>DS!Q119</f>
        <v>100300000</v>
      </c>
      <c r="CK32" s="634">
        <f>DS!S119</f>
        <v>100300000</v>
      </c>
      <c r="CL32" s="634">
        <f>DS!AC119</f>
        <v>90360360.360360354</v>
      </c>
      <c r="CM32" s="634"/>
      <c r="CN32" s="632">
        <f>DS!AC119</f>
        <v>90360360.360360354</v>
      </c>
      <c r="CO32" s="632"/>
      <c r="CP32" s="632"/>
      <c r="CQ32" s="632"/>
      <c r="CR32" s="631">
        <v>1</v>
      </c>
      <c r="CS32" s="631">
        <v>1</v>
      </c>
      <c r="CT32" s="11">
        <v>1</v>
      </c>
      <c r="CU32" s="478">
        <f>DS!Q111</f>
        <v>77000000</v>
      </c>
      <c r="CV32" s="478">
        <f>DS!S111</f>
        <v>77000000</v>
      </c>
      <c r="CW32" s="478">
        <f>DS!AC111</f>
        <v>69369369.369369358</v>
      </c>
      <c r="CX32" s="476"/>
      <c r="CY32" s="476">
        <f>DS!AC111</f>
        <v>69369369.369369358</v>
      </c>
      <c r="CZ32" s="632"/>
      <c r="DA32" s="632"/>
      <c r="DB32" s="632"/>
      <c r="DC32" s="631"/>
      <c r="DD32" s="631"/>
      <c r="DE32" s="631"/>
      <c r="DF32" s="634"/>
      <c r="DG32" s="634"/>
      <c r="DH32" s="634"/>
      <c r="DI32" s="634"/>
      <c r="DJ32" s="632"/>
      <c r="DK32" s="632"/>
      <c r="DL32" s="632"/>
      <c r="DM32" s="632"/>
      <c r="DN32" s="631"/>
      <c r="DO32" s="631"/>
      <c r="DP32" s="631"/>
      <c r="DQ32" s="634"/>
      <c r="DR32" s="634"/>
      <c r="DS32" s="634"/>
      <c r="DT32" s="634"/>
      <c r="DU32" s="798"/>
      <c r="DV32" s="632"/>
      <c r="DW32" s="632"/>
      <c r="DX32" s="632"/>
      <c r="DY32" s="631"/>
      <c r="DZ32" s="631"/>
      <c r="EA32" s="631"/>
      <c r="EB32" s="634"/>
      <c r="EC32" s="634"/>
      <c r="ED32" s="634"/>
      <c r="EE32" s="634"/>
      <c r="EF32" s="798"/>
      <c r="EG32" s="632"/>
      <c r="EH32" s="632"/>
      <c r="EI32" s="632"/>
      <c r="EJ32" s="631"/>
      <c r="EK32" s="631"/>
      <c r="EL32" s="631"/>
      <c r="EM32" s="634"/>
      <c r="EN32" s="634"/>
      <c r="EO32" s="634"/>
      <c r="EP32" s="634"/>
      <c r="EQ32" s="798"/>
      <c r="ER32" s="632"/>
      <c r="ES32" s="632"/>
      <c r="ET32" s="632"/>
      <c r="EU32" s="631"/>
      <c r="EV32" s="631"/>
      <c r="EW32" s="631"/>
      <c r="EX32" s="634"/>
      <c r="EY32" s="634"/>
      <c r="EZ32" s="634"/>
      <c r="FA32" s="634"/>
      <c r="FB32" s="798"/>
      <c r="FC32" s="632"/>
      <c r="FD32" s="632"/>
      <c r="FE32" s="632"/>
      <c r="FF32" s="631"/>
      <c r="FG32" s="631"/>
      <c r="FH32" s="631"/>
      <c r="FI32" s="634"/>
      <c r="FJ32" s="634"/>
      <c r="FK32" s="634"/>
      <c r="FL32" s="634"/>
      <c r="FM32" s="798"/>
      <c r="FN32" s="632"/>
      <c r="FO32" s="632"/>
      <c r="FP32" s="632"/>
      <c r="FQ32" s="635">
        <f t="shared" si="6"/>
        <v>7</v>
      </c>
      <c r="FR32" s="635">
        <f t="shared" si="0"/>
        <v>5</v>
      </c>
      <c r="FS32" s="635">
        <f t="shared" si="1"/>
        <v>3</v>
      </c>
      <c r="FT32" s="635">
        <f t="shared" si="2"/>
        <v>283300000</v>
      </c>
      <c r="FU32" s="635">
        <f t="shared" si="3"/>
        <v>283300000</v>
      </c>
      <c r="FV32" s="635">
        <f t="shared" si="4"/>
        <v>255225225.22522521</v>
      </c>
      <c r="FW32" s="635">
        <f t="shared" si="5"/>
        <v>255225225.22522521</v>
      </c>
    </row>
    <row r="33" spans="1:179" s="712" customFormat="1" ht="17.100000000000001" customHeight="1">
      <c r="A33" s="475">
        <v>12</v>
      </c>
      <c r="B33" s="903"/>
      <c r="C33" s="903"/>
      <c r="D33" s="904"/>
      <c r="E33" s="476"/>
      <c r="F33" s="476"/>
      <c r="G33" s="476"/>
      <c r="H33" s="476"/>
      <c r="I33" s="476"/>
      <c r="J33" s="476"/>
      <c r="K33" s="476"/>
      <c r="L33" s="477"/>
      <c r="M33" s="11">
        <v>3</v>
      </c>
      <c r="N33" s="11">
        <v>3</v>
      </c>
      <c r="O33" s="11"/>
      <c r="P33" s="478"/>
      <c r="Q33" s="478"/>
      <c r="R33" s="476"/>
      <c r="S33" s="476"/>
      <c r="T33" s="476"/>
      <c r="U33" s="476"/>
      <c r="V33" s="476"/>
      <c r="W33" s="476"/>
      <c r="X33" s="11">
        <v>3</v>
      </c>
      <c r="Y33" s="11">
        <v>3</v>
      </c>
      <c r="Z33" s="11">
        <v>1</v>
      </c>
      <c r="AA33" s="478">
        <f>DS!Q130</f>
        <v>51700000</v>
      </c>
      <c r="AB33" s="478">
        <f>DS!S130</f>
        <v>51700000</v>
      </c>
      <c r="AC33" s="478">
        <f>DS!AC130</f>
        <v>46576576.576576576</v>
      </c>
      <c r="AD33" s="478"/>
      <c r="AE33" s="478"/>
      <c r="AF33" s="478"/>
      <c r="AG33" s="905">
        <f>DS!AC130</f>
        <v>46576576.576576576</v>
      </c>
      <c r="AH33" s="476"/>
      <c r="AI33" s="476"/>
      <c r="AJ33" s="476"/>
      <c r="AK33" s="11">
        <v>2</v>
      </c>
      <c r="AL33" s="11">
        <v>2</v>
      </c>
      <c r="AM33" s="11"/>
      <c r="AN33" s="478"/>
      <c r="AO33" s="478"/>
      <c r="AP33" s="476"/>
      <c r="AQ33" s="476"/>
      <c r="AR33" s="476"/>
      <c r="AS33" s="476"/>
      <c r="AT33" s="476"/>
      <c r="AU33" s="476"/>
      <c r="AV33" s="11">
        <v>1</v>
      </c>
      <c r="AW33" s="11">
        <v>1</v>
      </c>
      <c r="AX33" s="11"/>
      <c r="AY33" s="478"/>
      <c r="AZ33" s="478"/>
      <c r="BA33" s="478"/>
      <c r="BB33" s="478"/>
      <c r="BC33" s="478"/>
      <c r="BD33" s="478"/>
      <c r="BE33" s="478"/>
      <c r="BF33" s="476"/>
      <c r="BG33" s="478"/>
      <c r="BH33" s="476"/>
      <c r="BI33" s="476"/>
      <c r="BJ33" s="476"/>
      <c r="BK33" s="11">
        <v>2</v>
      </c>
      <c r="BL33" s="11">
        <v>2</v>
      </c>
      <c r="BM33" s="11"/>
      <c r="BN33" s="478"/>
      <c r="BO33" s="478"/>
      <c r="BP33" s="478"/>
      <c r="BQ33" s="478"/>
      <c r="BR33" s="476"/>
      <c r="BS33" s="476"/>
      <c r="BT33" s="476"/>
      <c r="BU33" s="476"/>
      <c r="BV33" s="11">
        <v>2</v>
      </c>
      <c r="BW33" s="11">
        <v>1</v>
      </c>
      <c r="BX33" s="11"/>
      <c r="BY33" s="478"/>
      <c r="BZ33" s="478"/>
      <c r="CA33" s="478"/>
      <c r="CB33" s="476"/>
      <c r="CC33" s="476"/>
      <c r="CD33" s="476"/>
      <c r="CE33" s="476"/>
      <c r="CF33" s="476"/>
      <c r="CG33" s="11">
        <v>3</v>
      </c>
      <c r="CH33" s="11">
        <v>3</v>
      </c>
      <c r="CI33" s="11">
        <v>2</v>
      </c>
      <c r="CJ33" s="478">
        <f>DS!Q125+DS!Q128</f>
        <v>79200000</v>
      </c>
      <c r="CK33" s="478">
        <f>DS!S125+DS!S128</f>
        <v>79200000</v>
      </c>
      <c r="CL33" s="478">
        <f>DS!AC125+DS!AC128</f>
        <v>71351351.351351351</v>
      </c>
      <c r="CM33" s="478"/>
      <c r="CN33" s="476">
        <f>DS!AC125+DS!AC128</f>
        <v>71351351.351351351</v>
      </c>
      <c r="CO33" s="476"/>
      <c r="CP33" s="476"/>
      <c r="CQ33" s="476"/>
      <c r="CR33" s="11"/>
      <c r="CS33" s="11"/>
      <c r="CT33" s="11"/>
      <c r="CU33" s="478"/>
      <c r="CV33" s="478"/>
      <c r="CW33" s="476"/>
      <c r="CX33" s="476"/>
      <c r="CY33" s="476"/>
      <c r="CZ33" s="476"/>
      <c r="DA33" s="476"/>
      <c r="DB33" s="476"/>
      <c r="DC33" s="11">
        <v>5</v>
      </c>
      <c r="DD33" s="11">
        <v>5</v>
      </c>
      <c r="DE33" s="11"/>
      <c r="DF33" s="478"/>
      <c r="DG33" s="478"/>
      <c r="DH33" s="476"/>
      <c r="DI33" s="476"/>
      <c r="DJ33" s="476"/>
      <c r="DK33" s="476"/>
      <c r="DL33" s="476"/>
      <c r="DM33" s="476"/>
      <c r="DN33" s="11"/>
      <c r="DO33" s="11"/>
      <c r="DP33" s="11"/>
      <c r="DQ33" s="478"/>
      <c r="DR33" s="478"/>
      <c r="DS33" s="476"/>
      <c r="DT33" s="476"/>
      <c r="DU33" s="476"/>
      <c r="DV33" s="476"/>
      <c r="DW33" s="476"/>
      <c r="DX33" s="476"/>
      <c r="DY33" s="11"/>
      <c r="DZ33" s="11"/>
      <c r="EA33" s="11"/>
      <c r="EB33" s="478"/>
      <c r="EC33" s="478"/>
      <c r="ED33" s="476"/>
      <c r="EE33" s="476"/>
      <c r="EF33" s="476"/>
      <c r="EG33" s="476"/>
      <c r="EH33" s="476"/>
      <c r="EI33" s="476"/>
      <c r="EJ33" s="11"/>
      <c r="EK33" s="11"/>
      <c r="EL33" s="11"/>
      <c r="EM33" s="478"/>
      <c r="EN33" s="478"/>
      <c r="EO33" s="476"/>
      <c r="EP33" s="476"/>
      <c r="EQ33" s="476"/>
      <c r="ER33" s="476"/>
      <c r="ES33" s="476"/>
      <c r="ET33" s="476"/>
      <c r="EU33" s="11"/>
      <c r="EV33" s="11"/>
      <c r="EW33" s="11"/>
      <c r="EX33" s="478"/>
      <c r="EY33" s="478"/>
      <c r="EZ33" s="476"/>
      <c r="FA33" s="476"/>
      <c r="FB33" s="476"/>
      <c r="FC33" s="476"/>
      <c r="FD33" s="476"/>
      <c r="FE33" s="476"/>
      <c r="FF33" s="11"/>
      <c r="FG33" s="11"/>
      <c r="FH33" s="11"/>
      <c r="FI33" s="478"/>
      <c r="FJ33" s="478"/>
      <c r="FK33" s="476"/>
      <c r="FL33" s="476"/>
      <c r="FM33" s="476"/>
      <c r="FN33" s="476"/>
      <c r="FO33" s="476"/>
      <c r="FP33" s="476"/>
      <c r="FQ33" s="488">
        <f t="shared" si="6"/>
        <v>21</v>
      </c>
      <c r="FR33" s="488">
        <f t="shared" si="0"/>
        <v>20</v>
      </c>
      <c r="FS33" s="488">
        <f t="shared" si="1"/>
        <v>3</v>
      </c>
      <c r="FT33" s="488">
        <f t="shared" si="2"/>
        <v>130900000</v>
      </c>
      <c r="FU33" s="488">
        <f t="shared" si="3"/>
        <v>130900000</v>
      </c>
      <c r="FV33" s="488">
        <f t="shared" si="4"/>
        <v>117927927.92792793</v>
      </c>
      <c r="FW33" s="488">
        <f t="shared" si="5"/>
        <v>117927927.92792793</v>
      </c>
    </row>
    <row r="34" spans="1:179" s="712" customFormat="1" ht="15.75" customHeight="1">
      <c r="A34" s="907">
        <v>13</v>
      </c>
      <c r="B34" s="908"/>
      <c r="C34" s="908"/>
      <c r="D34" s="908"/>
      <c r="E34" s="491"/>
      <c r="F34" s="491"/>
      <c r="G34" s="491"/>
      <c r="H34" s="491"/>
      <c r="I34" s="476"/>
      <c r="J34" s="476"/>
      <c r="K34" s="476"/>
      <c r="L34" s="477"/>
      <c r="M34" s="11">
        <v>2</v>
      </c>
      <c r="N34" s="11">
        <v>2</v>
      </c>
      <c r="O34" s="11"/>
      <c r="P34" s="478"/>
      <c r="Q34" s="478"/>
      <c r="R34" s="476"/>
      <c r="S34" s="476"/>
      <c r="T34" s="476"/>
      <c r="U34" s="476"/>
      <c r="V34" s="476"/>
      <c r="W34" s="476"/>
      <c r="X34" s="11"/>
      <c r="Y34" s="11"/>
      <c r="Z34" s="11"/>
      <c r="AA34" s="478"/>
      <c r="AB34" s="478"/>
      <c r="AC34" s="476"/>
      <c r="AD34" s="476"/>
      <c r="AE34" s="476"/>
      <c r="AF34" s="476"/>
      <c r="AG34" s="476"/>
      <c r="AH34" s="476"/>
      <c r="AI34" s="476"/>
      <c r="AJ34" s="476"/>
      <c r="AK34" s="11"/>
      <c r="AL34" s="11"/>
      <c r="AM34" s="11"/>
      <c r="AN34" s="478"/>
      <c r="AO34" s="478"/>
      <c r="AP34" s="476"/>
      <c r="AQ34" s="476"/>
      <c r="AR34" s="476"/>
      <c r="AS34" s="476"/>
      <c r="AT34" s="476"/>
      <c r="AU34" s="476"/>
      <c r="AV34" s="11">
        <v>3</v>
      </c>
      <c r="AW34" s="11">
        <v>1</v>
      </c>
      <c r="AX34" s="11"/>
      <c r="AY34" s="478"/>
      <c r="AZ34" s="478"/>
      <c r="BA34" s="476"/>
      <c r="BB34" s="476"/>
      <c r="BC34" s="476"/>
      <c r="BD34" s="476"/>
      <c r="BE34" s="476"/>
      <c r="BF34" s="476"/>
      <c r="BG34" s="476"/>
      <c r="BH34" s="476"/>
      <c r="BI34" s="476"/>
      <c r="BJ34" s="476"/>
      <c r="BK34" s="11"/>
      <c r="BL34" s="11"/>
      <c r="BM34" s="11"/>
      <c r="BN34" s="478"/>
      <c r="BO34" s="478"/>
      <c r="BP34" s="476"/>
      <c r="BQ34" s="476"/>
      <c r="BR34" s="476"/>
      <c r="BS34" s="476"/>
      <c r="BT34" s="476"/>
      <c r="BU34" s="476"/>
      <c r="BV34" s="11">
        <v>5</v>
      </c>
      <c r="BW34" s="11">
        <v>4</v>
      </c>
      <c r="BX34" s="11"/>
      <c r="BY34" s="478"/>
      <c r="BZ34" s="478"/>
      <c r="CA34" s="476"/>
      <c r="CB34" s="476"/>
      <c r="CC34" s="476"/>
      <c r="CD34" s="476"/>
      <c r="CE34" s="476"/>
      <c r="CF34" s="476"/>
      <c r="CG34" s="11">
        <v>2</v>
      </c>
      <c r="CH34" s="11">
        <v>2</v>
      </c>
      <c r="CI34" s="11"/>
      <c r="CJ34" s="478"/>
      <c r="CK34" s="478"/>
      <c r="CL34" s="476"/>
      <c r="CM34" s="476"/>
      <c r="CN34" s="476"/>
      <c r="CO34" s="476"/>
      <c r="CP34" s="476"/>
      <c r="CQ34" s="476"/>
      <c r="CR34" s="11">
        <v>4</v>
      </c>
      <c r="CS34" s="11">
        <v>2</v>
      </c>
      <c r="CT34" s="11">
        <v>1</v>
      </c>
      <c r="CU34" s="478">
        <f>DS!Q133</f>
        <v>3220000</v>
      </c>
      <c r="CV34" s="478">
        <f>DS!S133</f>
        <v>3220000</v>
      </c>
      <c r="CW34" s="476">
        <f>DS!AC133</f>
        <v>2900900.9009009008</v>
      </c>
      <c r="CX34" s="476"/>
      <c r="CY34" s="476"/>
      <c r="CZ34" s="476"/>
      <c r="DA34" s="476"/>
      <c r="DB34" s="476"/>
      <c r="DC34" s="11">
        <v>4</v>
      </c>
      <c r="DD34" s="11">
        <v>2</v>
      </c>
      <c r="DE34" s="11">
        <v>1</v>
      </c>
      <c r="DF34" s="478">
        <f>DS!Q135</f>
        <v>9800000</v>
      </c>
      <c r="DG34" s="478">
        <f>DS!S135</f>
        <v>9800000</v>
      </c>
      <c r="DH34" s="476">
        <f>DS!AC135</f>
        <v>8828828.8288288284</v>
      </c>
      <c r="DI34" s="476"/>
      <c r="DJ34" s="476">
        <f>DS!AC135</f>
        <v>8828828.8288288284</v>
      </c>
      <c r="DK34" s="476"/>
      <c r="DL34" s="476"/>
      <c r="DM34" s="476"/>
      <c r="DN34" s="11"/>
      <c r="DO34" s="11"/>
      <c r="DP34" s="11"/>
      <c r="DQ34" s="478"/>
      <c r="DR34" s="478"/>
      <c r="DS34" s="476"/>
      <c r="DT34" s="476"/>
      <c r="DU34" s="476"/>
      <c r="DV34" s="476"/>
      <c r="DW34" s="476"/>
      <c r="DX34" s="476"/>
      <c r="DY34" s="11"/>
      <c r="DZ34" s="11"/>
      <c r="EA34" s="11"/>
      <c r="EB34" s="478"/>
      <c r="EC34" s="478"/>
      <c r="ED34" s="476"/>
      <c r="EE34" s="476"/>
      <c r="EF34" s="476"/>
      <c r="EG34" s="476"/>
      <c r="EH34" s="476"/>
      <c r="EI34" s="476"/>
      <c r="EJ34" s="11"/>
      <c r="EK34" s="11"/>
      <c r="EL34" s="11"/>
      <c r="EM34" s="478"/>
      <c r="EN34" s="478"/>
      <c r="EO34" s="476"/>
      <c r="EP34" s="476"/>
      <c r="EQ34" s="476"/>
      <c r="ER34" s="476"/>
      <c r="ES34" s="476"/>
      <c r="ET34" s="476"/>
      <c r="EU34" s="11"/>
      <c r="EV34" s="11"/>
      <c r="EW34" s="11"/>
      <c r="EX34" s="478"/>
      <c r="EY34" s="478"/>
      <c r="EZ34" s="476"/>
      <c r="FA34" s="476"/>
      <c r="FB34" s="476"/>
      <c r="FC34" s="476"/>
      <c r="FD34" s="476"/>
      <c r="FE34" s="476"/>
      <c r="FF34" s="11"/>
      <c r="FG34" s="11"/>
      <c r="FH34" s="11"/>
      <c r="FI34" s="478"/>
      <c r="FJ34" s="478"/>
      <c r="FK34" s="476"/>
      <c r="FL34" s="476"/>
      <c r="FM34" s="476"/>
      <c r="FN34" s="476"/>
      <c r="FO34" s="476"/>
      <c r="FP34" s="476"/>
      <c r="FQ34" s="488">
        <f>SUM(FF34+EJ34+DY34+DN34+DC34+CR34+CG34+BV34+BK34+AV34+AK34+X34+M34+H35)</f>
        <v>20</v>
      </c>
      <c r="FR34" s="488">
        <f t="shared" si="0"/>
        <v>13</v>
      </c>
      <c r="FS34" s="488">
        <f>SUM(FH34+EL34+EA34+DP34+DE34+CT34+CI34+BX34+BM34+AX34+AM34+Z34+O34+I35)</f>
        <v>2</v>
      </c>
      <c r="FT34" s="488">
        <f t="shared" ref="FT34:FT51" si="7">SUM(FI34+EM34+EB34+DQ34+DF34+CU34+CJ34+BY34+BN34+AY34+AN34+AA34+P34+E34)</f>
        <v>13020000</v>
      </c>
      <c r="FU34" s="488">
        <f t="shared" ref="FU34:FU52" si="8">SUM(FJ34+EN34+EC34+DR34+DG34+CV34+CK34+BZ34+BO34+AZ34+AO34+AB34+Q34+F34)</f>
        <v>13020000</v>
      </c>
      <c r="FV34" s="488">
        <f t="shared" ref="FV34:FV52" si="9">SUM(FK34+EO34+ED34+DS34+DH34+CW34+CL34+CA34+BP34+BA34+AP34+AC34+R34+G34)</f>
        <v>11729729.729729729</v>
      </c>
      <c r="FW34" s="488">
        <f t="shared" si="5"/>
        <v>11729729.729729729</v>
      </c>
    </row>
    <row r="35" spans="1:179" s="712" customFormat="1" ht="16.5" customHeight="1">
      <c r="A35" s="475">
        <v>14</v>
      </c>
      <c r="B35" s="909"/>
      <c r="C35" s="909"/>
      <c r="D35" s="910"/>
      <c r="E35" s="476"/>
      <c r="F35" s="476"/>
      <c r="G35" s="476"/>
      <c r="H35" s="11"/>
      <c r="I35" s="475"/>
      <c r="J35" s="476"/>
      <c r="K35" s="476"/>
      <c r="L35" s="477"/>
      <c r="M35" s="11">
        <v>1</v>
      </c>
      <c r="N35" s="11"/>
      <c r="O35" s="11"/>
      <c r="P35" s="478"/>
      <c r="Q35" s="478"/>
      <c r="R35" s="476"/>
      <c r="S35" s="476"/>
      <c r="T35" s="476"/>
      <c r="U35" s="476"/>
      <c r="V35" s="476"/>
      <c r="W35" s="476"/>
      <c r="X35" s="11">
        <v>1</v>
      </c>
      <c r="Y35" s="11">
        <v>1</v>
      </c>
      <c r="Z35" s="11"/>
      <c r="AA35" s="478"/>
      <c r="AB35" s="478"/>
      <c r="AC35" s="476"/>
      <c r="AD35" s="476"/>
      <c r="AE35" s="476"/>
      <c r="AF35" s="476"/>
      <c r="AG35" s="476"/>
      <c r="AH35" s="476"/>
      <c r="AI35" s="476"/>
      <c r="AJ35" s="476"/>
      <c r="AK35" s="11"/>
      <c r="AL35" s="11"/>
      <c r="AM35" s="11"/>
      <c r="AN35" s="478"/>
      <c r="AO35" s="478"/>
      <c r="AP35" s="478"/>
      <c r="AQ35" s="476"/>
      <c r="AR35" s="476"/>
      <c r="AS35" s="476"/>
      <c r="AT35" s="476"/>
      <c r="AU35" s="476"/>
      <c r="AV35" s="11"/>
      <c r="AW35" s="11"/>
      <c r="AX35" s="11"/>
      <c r="AY35" s="478"/>
      <c r="AZ35" s="478"/>
      <c r="BA35" s="478"/>
      <c r="BB35" s="905"/>
      <c r="BC35" s="905"/>
      <c r="BD35" s="905"/>
      <c r="BE35" s="905"/>
      <c r="BF35" s="476"/>
      <c r="BG35" s="476"/>
      <c r="BH35" s="476"/>
      <c r="BI35" s="476"/>
      <c r="BJ35" s="476"/>
      <c r="BK35" s="11"/>
      <c r="BL35" s="11"/>
      <c r="BM35" s="11"/>
      <c r="BN35" s="478"/>
      <c r="BO35" s="478"/>
      <c r="BP35" s="478"/>
      <c r="BQ35" s="476"/>
      <c r="BR35" s="476"/>
      <c r="BS35" s="476"/>
      <c r="BT35" s="476"/>
      <c r="BU35" s="476"/>
      <c r="BV35" s="11">
        <v>1</v>
      </c>
      <c r="BW35" s="11"/>
      <c r="BX35" s="11"/>
      <c r="BY35" s="478"/>
      <c r="BZ35" s="478"/>
      <c r="CA35" s="478"/>
      <c r="CB35" s="476"/>
      <c r="CC35" s="476"/>
      <c r="CD35" s="476"/>
      <c r="CE35" s="476"/>
      <c r="CF35" s="476"/>
      <c r="CG35" s="11"/>
      <c r="CH35" s="11"/>
      <c r="CI35" s="11"/>
      <c r="CJ35" s="478"/>
      <c r="CK35" s="478"/>
      <c r="CL35" s="478"/>
      <c r="CM35" s="476"/>
      <c r="CN35" s="476"/>
      <c r="CO35" s="476"/>
      <c r="CP35" s="478"/>
      <c r="CQ35" s="476"/>
      <c r="CR35" s="11"/>
      <c r="CS35" s="11"/>
      <c r="CT35" s="11"/>
      <c r="CU35" s="478"/>
      <c r="CV35" s="478"/>
      <c r="CW35" s="478"/>
      <c r="CX35" s="476"/>
      <c r="CY35" s="476"/>
      <c r="CZ35" s="476"/>
      <c r="DA35" s="476"/>
      <c r="DB35" s="476"/>
      <c r="DC35" s="11">
        <v>1</v>
      </c>
      <c r="DD35" s="11">
        <v>1</v>
      </c>
      <c r="DE35" s="11"/>
      <c r="DF35" s="478"/>
      <c r="DG35" s="478"/>
      <c r="DH35" s="478"/>
      <c r="DI35" s="476"/>
      <c r="DJ35" s="476"/>
      <c r="DK35" s="476"/>
      <c r="DL35" s="476"/>
      <c r="DM35" s="476"/>
      <c r="DN35" s="11"/>
      <c r="DO35" s="11"/>
      <c r="DP35" s="11"/>
      <c r="DQ35" s="478"/>
      <c r="DR35" s="478"/>
      <c r="DS35" s="478"/>
      <c r="DT35" s="476"/>
      <c r="DU35" s="476"/>
      <c r="DV35" s="476"/>
      <c r="DW35" s="476"/>
      <c r="DX35" s="476"/>
      <c r="DY35" s="11"/>
      <c r="DZ35" s="11"/>
      <c r="EA35" s="11"/>
      <c r="EB35" s="478"/>
      <c r="EC35" s="478"/>
      <c r="ED35" s="478"/>
      <c r="EE35" s="476"/>
      <c r="EF35" s="478"/>
      <c r="EG35" s="476"/>
      <c r="EH35" s="476"/>
      <c r="EI35" s="476"/>
      <c r="EJ35" s="11"/>
      <c r="EK35" s="11"/>
      <c r="EL35" s="11"/>
      <c r="EM35" s="478"/>
      <c r="EN35" s="478"/>
      <c r="EO35" s="478"/>
      <c r="EP35" s="476"/>
      <c r="EQ35" s="476"/>
      <c r="ER35" s="476"/>
      <c r="ES35" s="476"/>
      <c r="ET35" s="478"/>
      <c r="EU35" s="11"/>
      <c r="EV35" s="11"/>
      <c r="EW35" s="11"/>
      <c r="EX35" s="478"/>
      <c r="EY35" s="478"/>
      <c r="EZ35" s="478"/>
      <c r="FA35" s="476"/>
      <c r="FB35" s="476"/>
      <c r="FC35" s="476"/>
      <c r="FD35" s="476"/>
      <c r="FE35" s="476"/>
      <c r="FF35" s="11"/>
      <c r="FG35" s="11"/>
      <c r="FH35" s="11"/>
      <c r="FI35" s="478"/>
      <c r="FJ35" s="478"/>
      <c r="FK35" s="478"/>
      <c r="FL35" s="476"/>
      <c r="FM35" s="476"/>
      <c r="FN35" s="476"/>
      <c r="FO35" s="476"/>
      <c r="FP35" s="476"/>
      <c r="FQ35" s="488">
        <f t="shared" ref="FQ35:FQ52" si="10">SUM(FF35+EJ35+DY35+DN35+DC35+CR35+CG35+BV35+BK35+AV35+AK35+X35+M35+B35)</f>
        <v>4</v>
      </c>
      <c r="FR35" s="488">
        <f t="shared" si="0"/>
        <v>2</v>
      </c>
      <c r="FS35" s="488">
        <f t="shared" ref="FS35:FS52" si="11">SUM(FH35+EL35+EA35+DP35+DE35+CT35+CI35+BX35+BM35+AX35+AM35+Z35+O35+D35)</f>
        <v>0</v>
      </c>
      <c r="FT35" s="488">
        <f t="shared" si="7"/>
        <v>0</v>
      </c>
      <c r="FU35" s="488">
        <f t="shared" si="8"/>
        <v>0</v>
      </c>
      <c r="FV35" s="488">
        <f t="shared" si="9"/>
        <v>0</v>
      </c>
      <c r="FW35" s="488">
        <f t="shared" si="5"/>
        <v>0</v>
      </c>
    </row>
    <row r="36" spans="1:179" s="636" customFormat="1" ht="16.5" customHeight="1">
      <c r="A36" s="630">
        <v>15</v>
      </c>
      <c r="B36" s="631"/>
      <c r="C36" s="631"/>
      <c r="D36" s="630"/>
      <c r="E36" s="632"/>
      <c r="F36" s="632"/>
      <c r="G36" s="632"/>
      <c r="H36" s="632"/>
      <c r="I36" s="632"/>
      <c r="J36" s="632"/>
      <c r="K36" s="632"/>
      <c r="L36" s="633"/>
      <c r="M36" s="631">
        <v>1</v>
      </c>
      <c r="N36" s="631">
        <v>1</v>
      </c>
      <c r="O36" s="631">
        <v>1</v>
      </c>
      <c r="P36" s="634">
        <f>DS!Q138</f>
        <v>58700000</v>
      </c>
      <c r="Q36" s="634">
        <f>DS!S138</f>
        <v>58700000</v>
      </c>
      <c r="R36" s="634">
        <f>DS!AC138</f>
        <v>52882882.882882878</v>
      </c>
      <c r="S36" s="634"/>
      <c r="T36" s="632">
        <f>DS!AC138</f>
        <v>52882882.882882878</v>
      </c>
      <c r="U36" s="632"/>
      <c r="V36" s="632"/>
      <c r="W36" s="632"/>
      <c r="X36" s="631">
        <v>1</v>
      </c>
      <c r="Y36" s="631">
        <v>1</v>
      </c>
      <c r="Z36" s="631"/>
      <c r="AA36" s="634"/>
      <c r="AB36" s="634"/>
      <c r="AC36" s="634"/>
      <c r="AD36" s="634"/>
      <c r="AE36" s="634"/>
      <c r="AF36" s="634"/>
      <c r="AG36" s="632"/>
      <c r="AH36" s="632"/>
      <c r="AI36" s="632"/>
      <c r="AJ36" s="632"/>
      <c r="AK36" s="631"/>
      <c r="AL36" s="631"/>
      <c r="AM36" s="631"/>
      <c r="AN36" s="634"/>
      <c r="AO36" s="634"/>
      <c r="AP36" s="634"/>
      <c r="AQ36" s="634"/>
      <c r="AR36" s="632"/>
      <c r="AS36" s="632"/>
      <c r="AT36" s="632"/>
      <c r="AU36" s="632"/>
      <c r="AV36" s="631">
        <v>2</v>
      </c>
      <c r="AW36" s="631">
        <v>2</v>
      </c>
      <c r="AX36" s="631">
        <v>2</v>
      </c>
      <c r="AY36" s="634">
        <f>DS!Q144+DS!Q147</f>
        <v>132500000</v>
      </c>
      <c r="AZ36" s="634">
        <f>DS!S144+DS!S147</f>
        <v>132500000</v>
      </c>
      <c r="BA36" s="634">
        <f>DS!AC144+DS!AC147</f>
        <v>119369369.36936936</v>
      </c>
      <c r="BB36" s="634"/>
      <c r="BC36" s="634"/>
      <c r="BD36" s="634"/>
      <c r="BE36" s="634"/>
      <c r="BF36" s="634">
        <f>DS!AC144+DS!AC147</f>
        <v>119369369.36936936</v>
      </c>
      <c r="BG36" s="634"/>
      <c r="BH36" s="632"/>
      <c r="BI36" s="632"/>
      <c r="BJ36" s="632"/>
      <c r="BK36" s="631">
        <v>2</v>
      </c>
      <c r="BL36" s="631">
        <v>1</v>
      </c>
      <c r="BM36" s="631"/>
      <c r="BN36" s="634"/>
      <c r="BO36" s="634"/>
      <c r="BP36" s="634"/>
      <c r="BQ36" s="634"/>
      <c r="BR36" s="632"/>
      <c r="BS36" s="632"/>
      <c r="BT36" s="632"/>
      <c r="BU36" s="632"/>
      <c r="BV36" s="631"/>
      <c r="BW36" s="631"/>
      <c r="BX36" s="631"/>
      <c r="BY36" s="634"/>
      <c r="BZ36" s="634"/>
      <c r="CA36" s="634"/>
      <c r="CB36" s="634"/>
      <c r="CC36" s="632"/>
      <c r="CD36" s="632"/>
      <c r="CE36" s="632"/>
      <c r="CF36" s="632"/>
      <c r="CG36" s="631"/>
      <c r="CH36" s="631"/>
      <c r="CI36" s="631"/>
      <c r="CJ36" s="634"/>
      <c r="CK36" s="634"/>
      <c r="CL36" s="634"/>
      <c r="CM36" s="634"/>
      <c r="CN36" s="632"/>
      <c r="CO36" s="632"/>
      <c r="CP36" s="632"/>
      <c r="CQ36" s="632"/>
      <c r="CR36" s="631">
        <v>2</v>
      </c>
      <c r="CS36" s="631">
        <v>1</v>
      </c>
      <c r="CT36" s="631">
        <v>1</v>
      </c>
      <c r="CU36" s="634">
        <f>DS!Q141</f>
        <v>36800000</v>
      </c>
      <c r="CV36" s="634">
        <f>DS!S141</f>
        <v>36800000</v>
      </c>
      <c r="CW36" s="634">
        <f>DS!AC141</f>
        <v>33153153.153153151</v>
      </c>
      <c r="CX36" s="634"/>
      <c r="CY36" s="634">
        <f>DS!AC141</f>
        <v>33153153.153153151</v>
      </c>
      <c r="CZ36" s="632"/>
      <c r="DA36" s="632"/>
      <c r="DB36" s="632"/>
      <c r="DC36" s="631"/>
      <c r="DD36" s="631"/>
      <c r="DE36" s="631"/>
      <c r="DF36" s="634"/>
      <c r="DG36" s="634"/>
      <c r="DH36" s="634"/>
      <c r="DI36" s="634"/>
      <c r="DJ36" s="632"/>
      <c r="DK36" s="632"/>
      <c r="DL36" s="632"/>
      <c r="DM36" s="632"/>
      <c r="DN36" s="631"/>
      <c r="DO36" s="631"/>
      <c r="DP36" s="631"/>
      <c r="DQ36" s="634"/>
      <c r="DR36" s="634"/>
      <c r="DS36" s="634"/>
      <c r="DT36" s="634"/>
      <c r="DU36" s="632"/>
      <c r="DV36" s="632"/>
      <c r="DW36" s="632"/>
      <c r="DX36" s="632"/>
      <c r="DY36" s="631"/>
      <c r="DZ36" s="631"/>
      <c r="EA36" s="631"/>
      <c r="EB36" s="634"/>
      <c r="EC36" s="634"/>
      <c r="ED36" s="634"/>
      <c r="EE36" s="634"/>
      <c r="EF36" s="632"/>
      <c r="EG36" s="632"/>
      <c r="EH36" s="632"/>
      <c r="EI36" s="632"/>
      <c r="EJ36" s="631"/>
      <c r="EK36" s="631"/>
      <c r="EL36" s="631"/>
      <c r="EM36" s="634"/>
      <c r="EN36" s="634"/>
      <c r="EO36" s="634"/>
      <c r="EP36" s="634"/>
      <c r="EQ36" s="632"/>
      <c r="ER36" s="632"/>
      <c r="ES36" s="632"/>
      <c r="ET36" s="632"/>
      <c r="EU36" s="631"/>
      <c r="EV36" s="631"/>
      <c r="EW36" s="631"/>
      <c r="EX36" s="634"/>
      <c r="EY36" s="634"/>
      <c r="EZ36" s="634"/>
      <c r="FA36" s="634"/>
      <c r="FB36" s="632"/>
      <c r="FC36" s="632"/>
      <c r="FD36" s="632"/>
      <c r="FE36" s="632"/>
      <c r="FF36" s="631"/>
      <c r="FG36" s="631"/>
      <c r="FH36" s="631"/>
      <c r="FI36" s="634"/>
      <c r="FJ36" s="634"/>
      <c r="FK36" s="634"/>
      <c r="FL36" s="634"/>
      <c r="FM36" s="632"/>
      <c r="FN36" s="632"/>
      <c r="FO36" s="632"/>
      <c r="FP36" s="632"/>
      <c r="FQ36" s="635">
        <f t="shared" si="10"/>
        <v>8</v>
      </c>
      <c r="FR36" s="635">
        <f t="shared" si="0"/>
        <v>6</v>
      </c>
      <c r="FS36" s="635">
        <f t="shared" si="11"/>
        <v>4</v>
      </c>
      <c r="FT36" s="635">
        <f t="shared" si="7"/>
        <v>228000000</v>
      </c>
      <c r="FU36" s="635">
        <f t="shared" si="8"/>
        <v>228000000</v>
      </c>
      <c r="FV36" s="635">
        <f t="shared" si="9"/>
        <v>205405405.4054054</v>
      </c>
      <c r="FW36" s="635">
        <f t="shared" si="5"/>
        <v>205405405.4054054</v>
      </c>
    </row>
    <row r="37" spans="1:179" s="636" customFormat="1" ht="17.100000000000001" customHeight="1">
      <c r="A37" s="630">
        <v>16</v>
      </c>
      <c r="B37" s="631"/>
      <c r="C37" s="631"/>
      <c r="D37" s="630"/>
      <c r="E37" s="632"/>
      <c r="F37" s="632"/>
      <c r="G37" s="632"/>
      <c r="H37" s="632"/>
      <c r="I37" s="632"/>
      <c r="J37" s="632"/>
      <c r="K37" s="632"/>
      <c r="L37" s="633"/>
      <c r="M37" s="631">
        <v>2</v>
      </c>
      <c r="N37" s="631">
        <v>2</v>
      </c>
      <c r="O37" s="631"/>
      <c r="P37" s="913"/>
      <c r="Q37" s="913"/>
      <c r="R37" s="632"/>
      <c r="S37" s="632"/>
      <c r="T37" s="632"/>
      <c r="U37" s="632"/>
      <c r="V37" s="632"/>
      <c r="W37" s="632"/>
      <c r="X37" s="631"/>
      <c r="Y37" s="631"/>
      <c r="Z37" s="631"/>
      <c r="AA37" s="634"/>
      <c r="AB37" s="634"/>
      <c r="AC37" s="634"/>
      <c r="AD37" s="634"/>
      <c r="AE37" s="634"/>
      <c r="AF37" s="634"/>
      <c r="AG37" s="632"/>
      <c r="AH37" s="632"/>
      <c r="AI37" s="632"/>
      <c r="AJ37" s="632"/>
      <c r="AK37" s="631"/>
      <c r="AL37" s="631"/>
      <c r="AM37" s="631"/>
      <c r="AN37" s="634"/>
      <c r="AO37" s="634"/>
      <c r="AP37" s="634"/>
      <c r="AQ37" s="634"/>
      <c r="AR37" s="634"/>
      <c r="AS37" s="632"/>
      <c r="AT37" s="632"/>
      <c r="AU37" s="632"/>
      <c r="AV37" s="631">
        <v>1</v>
      </c>
      <c r="AW37" s="631">
        <v>1</v>
      </c>
      <c r="AX37" s="631"/>
      <c r="AY37" s="634"/>
      <c r="AZ37" s="634"/>
      <c r="BA37" s="634"/>
      <c r="BB37" s="634"/>
      <c r="BC37" s="634"/>
      <c r="BD37" s="634"/>
      <c r="BE37" s="634"/>
      <c r="BF37" s="634"/>
      <c r="BG37" s="632"/>
      <c r="BH37" s="632"/>
      <c r="BI37" s="632"/>
      <c r="BJ37" s="632"/>
      <c r="BK37" s="631">
        <v>1</v>
      </c>
      <c r="BL37" s="631">
        <v>1</v>
      </c>
      <c r="BM37" s="631"/>
      <c r="BN37" s="634"/>
      <c r="BO37" s="634"/>
      <c r="BP37" s="634"/>
      <c r="BQ37" s="634"/>
      <c r="BR37" s="632"/>
      <c r="BS37" s="632"/>
      <c r="BT37" s="632"/>
      <c r="BU37" s="632"/>
      <c r="BV37" s="631"/>
      <c r="BW37" s="631"/>
      <c r="BX37" s="631"/>
      <c r="BY37" s="634"/>
      <c r="BZ37" s="634"/>
      <c r="CA37" s="634"/>
      <c r="CB37" s="634"/>
      <c r="CC37" s="632"/>
      <c r="CD37" s="632"/>
      <c r="CE37" s="632"/>
      <c r="CF37" s="632"/>
      <c r="CG37" s="631"/>
      <c r="CH37" s="631"/>
      <c r="CI37" s="631"/>
      <c r="CJ37" s="634"/>
      <c r="CK37" s="634"/>
      <c r="CL37" s="634"/>
      <c r="CM37" s="634"/>
      <c r="CN37" s="798"/>
      <c r="CO37" s="632"/>
      <c r="CP37" s="632"/>
      <c r="CQ37" s="632"/>
      <c r="CR37" s="631">
        <v>2</v>
      </c>
      <c r="CS37" s="631">
        <v>2</v>
      </c>
      <c r="CT37" s="631">
        <v>1</v>
      </c>
      <c r="CU37" s="634">
        <f>DS!Q151</f>
        <v>159500000</v>
      </c>
      <c r="CV37" s="634">
        <f>DS!S151</f>
        <v>159500000</v>
      </c>
      <c r="CW37" s="634">
        <f>DS!AC151</f>
        <v>143693693.69369367</v>
      </c>
      <c r="CX37" s="634"/>
      <c r="CY37" s="632">
        <f>DS!AC151</f>
        <v>143693693.69369367</v>
      </c>
      <c r="CZ37" s="632"/>
      <c r="DA37" s="632"/>
      <c r="DB37" s="632"/>
      <c r="DC37" s="631">
        <v>2</v>
      </c>
      <c r="DD37" s="631">
        <v>2</v>
      </c>
      <c r="DE37" s="631">
        <v>1</v>
      </c>
      <c r="DF37" s="634">
        <f>DS!Q155</f>
        <v>144500000</v>
      </c>
      <c r="DG37" s="634">
        <f>DS!S155</f>
        <v>144500000</v>
      </c>
      <c r="DH37" s="634">
        <f>DS!AC155</f>
        <v>130180180.18018016</v>
      </c>
      <c r="DI37" s="634"/>
      <c r="DJ37" s="632">
        <f>DS!AC155</f>
        <v>130180180.18018016</v>
      </c>
      <c r="DK37" s="632"/>
      <c r="DL37" s="632"/>
      <c r="DM37" s="632"/>
      <c r="DN37" s="631">
        <v>1</v>
      </c>
      <c r="DO37" s="631">
        <v>1</v>
      </c>
      <c r="DP37" s="631">
        <v>1</v>
      </c>
      <c r="DQ37" s="634">
        <f>DS!Q159</f>
        <v>58700000</v>
      </c>
      <c r="DR37" s="634">
        <f>DS!S159</f>
        <v>58700000</v>
      </c>
      <c r="DS37" s="634">
        <f>DS!AC159</f>
        <v>52882882.882882878</v>
      </c>
      <c r="DT37" s="634"/>
      <c r="DU37" s="632">
        <f>DS!AC159</f>
        <v>52882882.882882878</v>
      </c>
      <c r="DV37" s="632"/>
      <c r="DW37" s="632"/>
      <c r="DX37" s="632"/>
      <c r="DY37" s="631"/>
      <c r="DZ37" s="631"/>
      <c r="EA37" s="631"/>
      <c r="EB37" s="634"/>
      <c r="EC37" s="634"/>
      <c r="ED37" s="634"/>
      <c r="EE37" s="634"/>
      <c r="EF37" s="798"/>
      <c r="EG37" s="632"/>
      <c r="EH37" s="632"/>
      <c r="EI37" s="632"/>
      <c r="EJ37" s="631"/>
      <c r="EK37" s="631"/>
      <c r="EL37" s="631"/>
      <c r="EM37" s="634"/>
      <c r="EN37" s="634"/>
      <c r="EO37" s="634"/>
      <c r="EP37" s="634"/>
      <c r="EQ37" s="632"/>
      <c r="ER37" s="632"/>
      <c r="ES37" s="632"/>
      <c r="ET37" s="632"/>
      <c r="EU37" s="631"/>
      <c r="EV37" s="631"/>
      <c r="EW37" s="631"/>
      <c r="EX37" s="634"/>
      <c r="EY37" s="634"/>
      <c r="EZ37" s="634"/>
      <c r="FA37" s="634"/>
      <c r="FB37" s="914"/>
      <c r="FC37" s="632"/>
      <c r="FD37" s="632"/>
      <c r="FE37" s="632"/>
      <c r="FF37" s="631"/>
      <c r="FG37" s="631"/>
      <c r="FH37" s="631"/>
      <c r="FI37" s="634"/>
      <c r="FJ37" s="634"/>
      <c r="FK37" s="634"/>
      <c r="FL37" s="634"/>
      <c r="FM37" s="798"/>
      <c r="FN37" s="632"/>
      <c r="FO37" s="632"/>
      <c r="FP37" s="632"/>
      <c r="FQ37" s="635">
        <f t="shared" si="10"/>
        <v>9</v>
      </c>
      <c r="FR37" s="635">
        <f t="shared" si="0"/>
        <v>9</v>
      </c>
      <c r="FS37" s="635">
        <f t="shared" ref="FS37:FV38" si="12">SUM(FH37+EL37+EA37+DP37+DE37+CT37+CI37+BX37+BM37+AX37+AM37+Z37+O37+D37+EW37)</f>
        <v>3</v>
      </c>
      <c r="FT37" s="635">
        <f t="shared" si="12"/>
        <v>362700000</v>
      </c>
      <c r="FU37" s="635">
        <f t="shared" si="12"/>
        <v>362700000</v>
      </c>
      <c r="FV37" s="635">
        <f t="shared" si="12"/>
        <v>326756756.75675666</v>
      </c>
      <c r="FW37" s="635">
        <f t="shared" si="5"/>
        <v>326756756.75675666</v>
      </c>
    </row>
    <row r="38" spans="1:179" s="861" customFormat="1" ht="17.100000000000001" customHeight="1">
      <c r="A38" s="630">
        <v>17</v>
      </c>
      <c r="B38" s="631"/>
      <c r="C38" s="631"/>
      <c r="D38" s="630"/>
      <c r="E38" s="632"/>
      <c r="F38" s="632"/>
      <c r="G38" s="632"/>
      <c r="H38" s="632"/>
      <c r="I38" s="632"/>
      <c r="J38" s="632"/>
      <c r="K38" s="632"/>
      <c r="L38" s="633"/>
      <c r="M38" s="631">
        <v>2</v>
      </c>
      <c r="N38" s="631">
        <v>2</v>
      </c>
      <c r="O38" s="631">
        <v>2</v>
      </c>
      <c r="P38" s="634">
        <f>DS!Q162+DS!Q163</f>
        <v>41600000</v>
      </c>
      <c r="Q38" s="634">
        <f>DS!S162+DS!S163</f>
        <v>41600000</v>
      </c>
      <c r="R38" s="632">
        <f>DS!AC162+DS!AC163</f>
        <v>37477477.477477476</v>
      </c>
      <c r="S38" s="632"/>
      <c r="T38" s="632">
        <f>DS!AC162+DS!AC163</f>
        <v>37477477.477477476</v>
      </c>
      <c r="U38" s="632"/>
      <c r="V38" s="632"/>
      <c r="W38" s="632"/>
      <c r="X38" s="631"/>
      <c r="Y38" s="631"/>
      <c r="Z38" s="631"/>
      <c r="AA38" s="634"/>
      <c r="AB38" s="634"/>
      <c r="AC38" s="632"/>
      <c r="AD38" s="632"/>
      <c r="AE38" s="632"/>
      <c r="AF38" s="632"/>
      <c r="AG38" s="632"/>
      <c r="AH38" s="632"/>
      <c r="AI38" s="632"/>
      <c r="AJ38" s="632"/>
      <c r="AK38" s="631"/>
      <c r="AL38" s="631"/>
      <c r="AM38" s="631"/>
      <c r="AN38" s="634"/>
      <c r="AO38" s="634"/>
      <c r="AP38" s="634"/>
      <c r="AQ38" s="632"/>
      <c r="AR38" s="632"/>
      <c r="AS38" s="632"/>
      <c r="AT38" s="632"/>
      <c r="AU38" s="632"/>
      <c r="AV38" s="631"/>
      <c r="AW38" s="631"/>
      <c r="AX38" s="631"/>
      <c r="AY38" s="634"/>
      <c r="AZ38" s="634"/>
      <c r="BA38" s="632"/>
      <c r="BB38" s="632"/>
      <c r="BC38" s="632"/>
      <c r="BD38" s="632"/>
      <c r="BE38" s="632"/>
      <c r="BF38" s="632"/>
      <c r="BG38" s="632"/>
      <c r="BH38" s="632"/>
      <c r="BI38" s="632"/>
      <c r="BJ38" s="632"/>
      <c r="BK38" s="631"/>
      <c r="BL38" s="631"/>
      <c r="BM38" s="631"/>
      <c r="BN38" s="634"/>
      <c r="BO38" s="634"/>
      <c r="BP38" s="634"/>
      <c r="BQ38" s="632"/>
      <c r="BR38" s="632"/>
      <c r="BS38" s="632"/>
      <c r="BT38" s="632"/>
      <c r="BU38" s="632"/>
      <c r="BV38" s="631">
        <v>1</v>
      </c>
      <c r="BW38" s="631">
        <v>1</v>
      </c>
      <c r="BX38" s="631">
        <v>1</v>
      </c>
      <c r="BY38" s="634">
        <f>DS!Q165</f>
        <v>262500000</v>
      </c>
      <c r="BZ38" s="634">
        <f>DS!S165</f>
        <v>262500000</v>
      </c>
      <c r="CA38" s="634">
        <f>DS!AC165</f>
        <v>236486486.48648646</v>
      </c>
      <c r="CB38" s="632"/>
      <c r="CC38" s="632">
        <f>DS!AC165</f>
        <v>236486486.48648646</v>
      </c>
      <c r="CD38" s="632"/>
      <c r="CE38" s="632"/>
      <c r="CF38" s="632"/>
      <c r="CG38" s="631"/>
      <c r="CH38" s="631"/>
      <c r="CI38" s="631"/>
      <c r="CJ38" s="634"/>
      <c r="CK38" s="634"/>
      <c r="CL38" s="634"/>
      <c r="CM38" s="632"/>
      <c r="CN38" s="632"/>
      <c r="CO38" s="632"/>
      <c r="CP38" s="632"/>
      <c r="CQ38" s="632"/>
      <c r="CR38" s="631"/>
      <c r="CS38" s="631"/>
      <c r="CT38" s="631"/>
      <c r="CU38" s="634"/>
      <c r="CV38" s="634"/>
      <c r="CW38" s="634"/>
      <c r="CX38" s="632"/>
      <c r="CY38" s="632"/>
      <c r="CZ38" s="632"/>
      <c r="DA38" s="632"/>
      <c r="DB38" s="632"/>
      <c r="DC38" s="631">
        <v>2</v>
      </c>
      <c r="DD38" s="631">
        <v>2</v>
      </c>
      <c r="DE38" s="631"/>
      <c r="DF38" s="634"/>
      <c r="DG38" s="634"/>
      <c r="DH38" s="634"/>
      <c r="DI38" s="632"/>
      <c r="DJ38" s="632"/>
      <c r="DK38" s="632"/>
      <c r="DL38" s="632"/>
      <c r="DM38" s="632"/>
      <c r="DN38" s="631"/>
      <c r="DO38" s="631"/>
      <c r="DP38" s="631"/>
      <c r="DQ38" s="634"/>
      <c r="DR38" s="634"/>
      <c r="DS38" s="634"/>
      <c r="DT38" s="632"/>
      <c r="DU38" s="632"/>
      <c r="DV38" s="632"/>
      <c r="DW38" s="632"/>
      <c r="DX38" s="632"/>
      <c r="DY38" s="631"/>
      <c r="DZ38" s="631"/>
      <c r="EA38" s="631"/>
      <c r="EB38" s="634"/>
      <c r="EC38" s="634"/>
      <c r="ED38" s="634"/>
      <c r="EE38" s="632"/>
      <c r="EF38" s="632"/>
      <c r="EG38" s="632"/>
      <c r="EH38" s="632"/>
      <c r="EI38" s="632"/>
      <c r="EJ38" s="631"/>
      <c r="EK38" s="631"/>
      <c r="EL38" s="631"/>
      <c r="EM38" s="634"/>
      <c r="EN38" s="634"/>
      <c r="EO38" s="634"/>
      <c r="EP38" s="632"/>
      <c r="EQ38" s="632"/>
      <c r="ER38" s="632"/>
      <c r="ES38" s="632"/>
      <c r="ET38" s="632"/>
      <c r="EU38" s="631"/>
      <c r="EV38" s="631"/>
      <c r="EW38" s="631"/>
      <c r="EX38" s="634"/>
      <c r="EY38" s="634"/>
      <c r="EZ38" s="634"/>
      <c r="FA38" s="632"/>
      <c r="FB38" s="632"/>
      <c r="FC38" s="632"/>
      <c r="FD38" s="632"/>
      <c r="FE38" s="632"/>
      <c r="FF38" s="631"/>
      <c r="FG38" s="631"/>
      <c r="FH38" s="631"/>
      <c r="FI38" s="634"/>
      <c r="FJ38" s="634"/>
      <c r="FK38" s="634"/>
      <c r="FL38" s="632"/>
      <c r="FM38" s="632"/>
      <c r="FN38" s="632"/>
      <c r="FO38" s="632"/>
      <c r="FP38" s="632"/>
      <c r="FQ38" s="635">
        <f t="shared" si="10"/>
        <v>5</v>
      </c>
      <c r="FR38" s="635">
        <f t="shared" si="0"/>
        <v>5</v>
      </c>
      <c r="FS38" s="635">
        <f t="shared" si="12"/>
        <v>3</v>
      </c>
      <c r="FT38" s="635">
        <f t="shared" si="12"/>
        <v>304100000</v>
      </c>
      <c r="FU38" s="635">
        <f t="shared" si="12"/>
        <v>304100000</v>
      </c>
      <c r="FV38" s="635">
        <f t="shared" si="12"/>
        <v>273963963.96396393</v>
      </c>
      <c r="FW38" s="635">
        <f t="shared" si="5"/>
        <v>273963963.96396393</v>
      </c>
    </row>
    <row r="39" spans="1:179" s="712" customFormat="1" ht="16.5" customHeight="1">
      <c r="A39" s="475">
        <v>18</v>
      </c>
      <c r="B39" s="11"/>
      <c r="C39" s="11"/>
      <c r="D39" s="475"/>
      <c r="E39" s="476"/>
      <c r="F39" s="476"/>
      <c r="G39" s="476"/>
      <c r="H39" s="476"/>
      <c r="I39" s="476"/>
      <c r="J39" s="476"/>
      <c r="K39" s="476"/>
      <c r="L39" s="477"/>
      <c r="M39" s="11"/>
      <c r="N39" s="11"/>
      <c r="O39" s="11"/>
      <c r="P39" s="478"/>
      <c r="Q39" s="478"/>
      <c r="R39" s="478"/>
      <c r="S39" s="478"/>
      <c r="T39" s="476"/>
      <c r="U39" s="476"/>
      <c r="V39" s="476"/>
      <c r="W39" s="476"/>
      <c r="X39" s="11">
        <v>2</v>
      </c>
      <c r="Y39" s="11">
        <v>1</v>
      </c>
      <c r="Z39" s="11">
        <v>1</v>
      </c>
      <c r="AA39" s="478">
        <f>DS!Q171</f>
        <v>91700000</v>
      </c>
      <c r="AB39" s="478">
        <f>DS!S171</f>
        <v>91700000</v>
      </c>
      <c r="AC39" s="476">
        <f>DS!AC171</f>
        <v>82612612.612612605</v>
      </c>
      <c r="AD39" s="476"/>
      <c r="AE39" s="476"/>
      <c r="AF39" s="476"/>
      <c r="AG39" s="476">
        <f>DS!AC171</f>
        <v>82612612.612612605</v>
      </c>
      <c r="AH39" s="476"/>
      <c r="AI39" s="476"/>
      <c r="AJ39" s="476"/>
      <c r="AK39" s="11"/>
      <c r="AL39" s="11"/>
      <c r="AM39" s="11"/>
      <c r="AN39" s="478"/>
      <c r="AO39" s="478"/>
      <c r="AP39" s="476"/>
      <c r="AQ39" s="476"/>
      <c r="AR39" s="476"/>
      <c r="AS39" s="476"/>
      <c r="AT39" s="476"/>
      <c r="AU39" s="476"/>
      <c r="AV39" s="11">
        <v>1</v>
      </c>
      <c r="AW39" s="11">
        <v>1</v>
      </c>
      <c r="AX39" s="11"/>
      <c r="AY39" s="478"/>
      <c r="AZ39" s="478"/>
      <c r="BA39" s="478"/>
      <c r="BB39" s="478"/>
      <c r="BC39" s="478"/>
      <c r="BD39" s="478"/>
      <c r="BE39" s="478"/>
      <c r="BF39" s="476"/>
      <c r="BG39" s="476"/>
      <c r="BH39" s="476"/>
      <c r="BI39" s="476"/>
      <c r="BJ39" s="476"/>
      <c r="BK39" s="11">
        <v>1</v>
      </c>
      <c r="BL39" s="11">
        <v>1</v>
      </c>
      <c r="BM39" s="11">
        <v>1</v>
      </c>
      <c r="BN39" s="478">
        <f>DS!Q177</f>
        <v>206000000</v>
      </c>
      <c r="BO39" s="478">
        <f>DS!S177</f>
        <v>206000000</v>
      </c>
      <c r="BP39" s="476">
        <f>DS!AC177</f>
        <v>185585585.58558556</v>
      </c>
      <c r="BQ39" s="476"/>
      <c r="BR39" s="476">
        <f>DS!AC177</f>
        <v>185585585.58558556</v>
      </c>
      <c r="BS39" s="476"/>
      <c r="BT39" s="476"/>
      <c r="BU39" s="476"/>
      <c r="BV39" s="11"/>
      <c r="BW39" s="11"/>
      <c r="BX39" s="11"/>
      <c r="BY39" s="478"/>
      <c r="BZ39" s="478"/>
      <c r="CA39" s="476"/>
      <c r="CB39" s="476"/>
      <c r="CC39" s="476"/>
      <c r="CD39" s="476"/>
      <c r="CE39" s="476"/>
      <c r="CF39" s="476"/>
      <c r="CG39" s="11"/>
      <c r="CH39" s="11"/>
      <c r="CI39" s="11"/>
      <c r="CJ39" s="478"/>
      <c r="CK39" s="478"/>
      <c r="CL39" s="476"/>
      <c r="CM39" s="476"/>
      <c r="CN39" s="476"/>
      <c r="CO39" s="476"/>
      <c r="CP39" s="476"/>
      <c r="CQ39" s="476"/>
      <c r="CR39" s="11">
        <v>1</v>
      </c>
      <c r="CS39" s="11">
        <v>1</v>
      </c>
      <c r="CT39" s="11"/>
      <c r="CU39" s="478"/>
      <c r="CV39" s="478"/>
      <c r="CW39" s="476"/>
      <c r="CX39" s="476"/>
      <c r="CY39" s="476"/>
      <c r="CZ39" s="476"/>
      <c r="DA39" s="476"/>
      <c r="DB39" s="476"/>
      <c r="DC39" s="11">
        <v>2</v>
      </c>
      <c r="DD39" s="11">
        <v>2</v>
      </c>
      <c r="DE39" s="11">
        <v>2</v>
      </c>
      <c r="DF39" s="478">
        <f>DS!Q168+DS!Q174</f>
        <v>252700000</v>
      </c>
      <c r="DG39" s="478">
        <f>DS!S168+DS!S174</f>
        <v>252700000</v>
      </c>
      <c r="DH39" s="476">
        <f>DS!AC168+DS!AC174</f>
        <v>227657657.65765762</v>
      </c>
      <c r="DI39" s="476"/>
      <c r="DJ39" s="476">
        <f>DS!AC168+DS!AC174</f>
        <v>227657657.65765762</v>
      </c>
      <c r="DK39" s="476"/>
      <c r="DL39" s="476"/>
      <c r="DM39" s="476"/>
      <c r="DN39" s="11"/>
      <c r="DO39" s="11"/>
      <c r="DP39" s="11"/>
      <c r="DQ39" s="478"/>
      <c r="DR39" s="478"/>
      <c r="DS39" s="476"/>
      <c r="DT39" s="476"/>
      <c r="DU39" s="476"/>
      <c r="DV39" s="476"/>
      <c r="DW39" s="476"/>
      <c r="DX39" s="476"/>
      <c r="DY39" s="11"/>
      <c r="DZ39" s="11"/>
      <c r="EA39" s="11"/>
      <c r="EB39" s="478"/>
      <c r="EC39" s="478"/>
      <c r="ED39" s="476"/>
      <c r="EE39" s="476"/>
      <c r="EF39" s="476"/>
      <c r="EG39" s="476"/>
      <c r="EH39" s="476"/>
      <c r="EI39" s="476"/>
      <c r="EJ39" s="11"/>
      <c r="EK39" s="11"/>
      <c r="EL39" s="11"/>
      <c r="EM39" s="478"/>
      <c r="EN39" s="478"/>
      <c r="EO39" s="476"/>
      <c r="EP39" s="476"/>
      <c r="EQ39" s="476"/>
      <c r="ER39" s="476"/>
      <c r="ES39" s="476"/>
      <c r="ET39" s="476"/>
      <c r="EU39" s="11"/>
      <c r="EV39" s="11"/>
      <c r="EW39" s="11"/>
      <c r="EX39" s="478"/>
      <c r="EY39" s="478"/>
      <c r="EZ39" s="476"/>
      <c r="FA39" s="476"/>
      <c r="FB39" s="476"/>
      <c r="FC39" s="476"/>
      <c r="FD39" s="476"/>
      <c r="FE39" s="476"/>
      <c r="FF39" s="11"/>
      <c r="FG39" s="11"/>
      <c r="FH39" s="11"/>
      <c r="FI39" s="478"/>
      <c r="FJ39" s="478"/>
      <c r="FK39" s="476"/>
      <c r="FL39" s="476"/>
      <c r="FM39" s="476"/>
      <c r="FN39" s="476"/>
      <c r="FO39" s="476"/>
      <c r="FP39" s="476"/>
      <c r="FQ39" s="488">
        <f t="shared" si="10"/>
        <v>7</v>
      </c>
      <c r="FR39" s="488">
        <f t="shared" si="0"/>
        <v>6</v>
      </c>
      <c r="FS39" s="488">
        <f t="shared" si="11"/>
        <v>4</v>
      </c>
      <c r="FT39" s="488">
        <f>SUM(FI39+EM39+EB39+DQ39+DF39+CU39+CJ39+BY39+BN39+AY39+AN39+AA39+P39+E39)</f>
        <v>550400000</v>
      </c>
      <c r="FU39" s="488">
        <f>SUM(FJ39+EN39+EC39+DR39+DG39+CV39+CK39+BZ39+BO39+AZ39+AO39+AB39+Q39+F39)</f>
        <v>550400000</v>
      </c>
      <c r="FV39" s="488">
        <f>SUM(FK39+EO39+ED39+DS39+DH39+CW39+CL39+CA39+BP39+BA39+AP39+AC39+R39+G39)</f>
        <v>495855855.85585582</v>
      </c>
      <c r="FW39" s="488">
        <f t="shared" si="5"/>
        <v>495855855.85585582</v>
      </c>
    </row>
    <row r="40" spans="1:179" s="636" customFormat="1" ht="15.75" customHeight="1">
      <c r="A40" s="630">
        <v>19</v>
      </c>
      <c r="B40" s="631"/>
      <c r="C40" s="631"/>
      <c r="D40" s="630"/>
      <c r="E40" s="632"/>
      <c r="F40" s="632"/>
      <c r="G40" s="632"/>
      <c r="H40" s="632"/>
      <c r="I40" s="632"/>
      <c r="J40" s="632"/>
      <c r="K40" s="632"/>
      <c r="L40" s="633"/>
      <c r="M40" s="631">
        <v>2</v>
      </c>
      <c r="N40" s="631">
        <v>2</v>
      </c>
      <c r="O40" s="631"/>
      <c r="P40" s="634"/>
      <c r="Q40" s="634"/>
      <c r="R40" s="634"/>
      <c r="S40" s="634"/>
      <c r="T40" s="632"/>
      <c r="U40" s="632"/>
      <c r="V40" s="632"/>
      <c r="W40" s="632"/>
      <c r="X40" s="631">
        <v>2</v>
      </c>
      <c r="Y40" s="631">
        <v>2</v>
      </c>
      <c r="Z40" s="631"/>
      <c r="AA40" s="634"/>
      <c r="AB40" s="634"/>
      <c r="AC40" s="634"/>
      <c r="AD40" s="634"/>
      <c r="AE40" s="634"/>
      <c r="AF40" s="632"/>
      <c r="AG40" s="632"/>
      <c r="AH40" s="632"/>
      <c r="AI40" s="632"/>
      <c r="AJ40" s="632"/>
      <c r="AK40" s="631">
        <v>2</v>
      </c>
      <c r="AL40" s="631">
        <v>2</v>
      </c>
      <c r="AM40" s="631">
        <v>2</v>
      </c>
      <c r="AN40" s="634">
        <f>DS!Q186+DS!Q189</f>
        <v>145200000</v>
      </c>
      <c r="AO40" s="634">
        <f>DS!S186+DS!S189</f>
        <v>145200000</v>
      </c>
      <c r="AP40" s="634">
        <f>DS!AC186+DS!AC189</f>
        <v>130810810.8108108</v>
      </c>
      <c r="AQ40" s="632"/>
      <c r="AR40" s="634">
        <f>DS!AC186+DS!AC189</f>
        <v>130810810.8108108</v>
      </c>
      <c r="AS40" s="632"/>
      <c r="AT40" s="632"/>
      <c r="AU40" s="632"/>
      <c r="AV40" s="631"/>
      <c r="AW40" s="631"/>
      <c r="AX40" s="631"/>
      <c r="AY40" s="634"/>
      <c r="AZ40" s="634"/>
      <c r="BA40" s="634"/>
      <c r="BB40" s="634"/>
      <c r="BC40" s="634"/>
      <c r="BD40" s="634"/>
      <c r="BE40" s="634"/>
      <c r="BF40" s="634"/>
      <c r="BG40" s="634"/>
      <c r="BH40" s="634"/>
      <c r="BI40" s="632"/>
      <c r="BJ40" s="632"/>
      <c r="BK40" s="631">
        <v>2</v>
      </c>
      <c r="BL40" s="631">
        <v>2</v>
      </c>
      <c r="BM40" s="631">
        <v>1</v>
      </c>
      <c r="BN40" s="634">
        <f>DS!Q180</f>
        <v>65500000</v>
      </c>
      <c r="BO40" s="634">
        <f>DS!S180</f>
        <v>65500000</v>
      </c>
      <c r="BP40" s="634">
        <f>DS!AC180</f>
        <v>59009009.009009004</v>
      </c>
      <c r="BQ40" s="632"/>
      <c r="BR40" s="634">
        <f>DS!AC180</f>
        <v>59009009.009009004</v>
      </c>
      <c r="BS40" s="632"/>
      <c r="BT40" s="632"/>
      <c r="BU40" s="632"/>
      <c r="BV40" s="631">
        <v>2</v>
      </c>
      <c r="BW40" s="631">
        <v>2</v>
      </c>
      <c r="BX40" s="631"/>
      <c r="BY40" s="634"/>
      <c r="BZ40" s="634"/>
      <c r="CA40" s="634"/>
      <c r="CB40" s="632"/>
      <c r="CC40" s="634"/>
      <c r="CD40" s="632"/>
      <c r="CE40" s="632"/>
      <c r="CF40" s="632"/>
      <c r="CG40" s="631">
        <v>1</v>
      </c>
      <c r="CH40" s="631">
        <v>1</v>
      </c>
      <c r="CI40" s="631"/>
      <c r="CJ40" s="634"/>
      <c r="CK40" s="634"/>
      <c r="CL40" s="634"/>
      <c r="CM40" s="632"/>
      <c r="CN40" s="634"/>
      <c r="CO40" s="632"/>
      <c r="CP40" s="632"/>
      <c r="CQ40" s="632"/>
      <c r="CR40" s="631"/>
      <c r="CS40" s="631"/>
      <c r="CT40" s="631"/>
      <c r="CU40" s="634"/>
      <c r="CV40" s="634"/>
      <c r="CW40" s="634"/>
      <c r="CX40" s="632"/>
      <c r="CY40" s="634"/>
      <c r="CZ40" s="632"/>
      <c r="DA40" s="632"/>
      <c r="DB40" s="632"/>
      <c r="DC40" s="631">
        <v>3</v>
      </c>
      <c r="DD40" s="631">
        <v>2</v>
      </c>
      <c r="DE40" s="631">
        <v>1</v>
      </c>
      <c r="DF40" s="634">
        <f>DS!Q183</f>
        <v>36800000</v>
      </c>
      <c r="DG40" s="634">
        <f>DS!S183</f>
        <v>36800000</v>
      </c>
      <c r="DH40" s="634">
        <f>DS!AC183</f>
        <v>33153153.153153151</v>
      </c>
      <c r="DI40" s="632"/>
      <c r="DJ40" s="634">
        <f>DS!AC183</f>
        <v>33153153.153153151</v>
      </c>
      <c r="DK40" s="632"/>
      <c r="DL40" s="632"/>
      <c r="DM40" s="632"/>
      <c r="DN40" s="631"/>
      <c r="DO40" s="631"/>
      <c r="DP40" s="631"/>
      <c r="DQ40" s="634"/>
      <c r="DR40" s="634"/>
      <c r="DS40" s="634"/>
      <c r="DT40" s="632"/>
      <c r="DU40" s="634"/>
      <c r="DV40" s="632"/>
      <c r="DW40" s="632"/>
      <c r="DX40" s="632"/>
      <c r="DY40" s="631"/>
      <c r="DZ40" s="631"/>
      <c r="EA40" s="631"/>
      <c r="EB40" s="634"/>
      <c r="EC40" s="634"/>
      <c r="ED40" s="634"/>
      <c r="EE40" s="632"/>
      <c r="EF40" s="634"/>
      <c r="EG40" s="632"/>
      <c r="EH40" s="632"/>
      <c r="EI40" s="632"/>
      <c r="EJ40" s="631"/>
      <c r="EK40" s="631"/>
      <c r="EL40" s="631"/>
      <c r="EM40" s="634"/>
      <c r="EN40" s="634"/>
      <c r="EO40" s="634"/>
      <c r="EP40" s="632"/>
      <c r="EQ40" s="634"/>
      <c r="ER40" s="632"/>
      <c r="ES40" s="632"/>
      <c r="ET40" s="632"/>
      <c r="EU40" s="631"/>
      <c r="EV40" s="631"/>
      <c r="EW40" s="631"/>
      <c r="EX40" s="634"/>
      <c r="EY40" s="634"/>
      <c r="EZ40" s="634"/>
      <c r="FA40" s="632"/>
      <c r="FB40" s="634"/>
      <c r="FC40" s="632"/>
      <c r="FD40" s="632"/>
      <c r="FE40" s="632"/>
      <c r="FF40" s="631"/>
      <c r="FG40" s="631"/>
      <c r="FH40" s="631"/>
      <c r="FI40" s="634"/>
      <c r="FJ40" s="634"/>
      <c r="FK40" s="634"/>
      <c r="FL40" s="632"/>
      <c r="FM40" s="634"/>
      <c r="FN40" s="632"/>
      <c r="FO40" s="632"/>
      <c r="FP40" s="632"/>
      <c r="FQ40" s="635">
        <f t="shared" si="10"/>
        <v>14</v>
      </c>
      <c r="FR40" s="635">
        <f t="shared" si="0"/>
        <v>13</v>
      </c>
      <c r="FS40" s="635">
        <f t="shared" si="11"/>
        <v>4</v>
      </c>
      <c r="FT40" s="635">
        <f t="shared" si="7"/>
        <v>247500000</v>
      </c>
      <c r="FU40" s="635">
        <f t="shared" si="8"/>
        <v>247500000</v>
      </c>
      <c r="FV40" s="635">
        <f t="shared" si="9"/>
        <v>222972972.97297296</v>
      </c>
      <c r="FW40" s="635">
        <f t="shared" si="5"/>
        <v>222972972.97297296</v>
      </c>
    </row>
    <row r="41" spans="1:179" s="915" customFormat="1" ht="18">
      <c r="A41" s="906">
        <v>20</v>
      </c>
      <c r="B41" s="900"/>
      <c r="C41" s="900"/>
      <c r="D41" s="906"/>
      <c r="E41" s="898"/>
      <c r="F41" s="898"/>
      <c r="G41" s="898"/>
      <c r="H41" s="898"/>
      <c r="I41" s="898"/>
      <c r="J41" s="898"/>
      <c r="K41" s="898"/>
      <c r="L41" s="899"/>
      <c r="M41" s="900">
        <v>2</v>
      </c>
      <c r="N41" s="900"/>
      <c r="O41" s="906"/>
      <c r="P41" s="898"/>
      <c r="Q41" s="898"/>
      <c r="R41" s="898"/>
      <c r="S41" s="898"/>
      <c r="T41" s="898"/>
      <c r="U41" s="898"/>
      <c r="V41" s="1138"/>
      <c r="W41" s="898"/>
      <c r="X41" s="900">
        <v>2</v>
      </c>
      <c r="Y41" s="900">
        <v>2</v>
      </c>
      <c r="Z41" s="900"/>
      <c r="AA41" s="901"/>
      <c r="AB41" s="901"/>
      <c r="AC41" s="901"/>
      <c r="AD41" s="898"/>
      <c r="AE41" s="898"/>
      <c r="AF41" s="898"/>
      <c r="AG41" s="898"/>
      <c r="AH41" s="898"/>
      <c r="AI41" s="898"/>
      <c r="AJ41" s="898"/>
      <c r="AK41" s="900">
        <v>2</v>
      </c>
      <c r="AL41" s="900">
        <v>1</v>
      </c>
      <c r="AM41" s="900"/>
      <c r="AN41" s="901"/>
      <c r="AO41" s="901"/>
      <c r="AP41" s="901"/>
      <c r="AQ41" s="898"/>
      <c r="AR41" s="898"/>
      <c r="AS41" s="898"/>
      <c r="AT41" s="898"/>
      <c r="AU41" s="898"/>
      <c r="AV41" s="900"/>
      <c r="AW41" s="900"/>
      <c r="AX41" s="900"/>
      <c r="AY41" s="901"/>
      <c r="AZ41" s="901"/>
      <c r="BA41" s="901"/>
      <c r="BB41" s="901"/>
      <c r="BC41" s="901"/>
      <c r="BD41" s="901"/>
      <c r="BE41" s="901"/>
      <c r="BF41" s="901"/>
      <c r="BG41" s="901"/>
      <c r="BH41" s="898"/>
      <c r="BI41" s="898"/>
      <c r="BJ41" s="898"/>
      <c r="BK41" s="900">
        <v>1</v>
      </c>
      <c r="BL41" s="900">
        <v>1</v>
      </c>
      <c r="BM41" s="900"/>
      <c r="BN41" s="901"/>
      <c r="BO41" s="901"/>
      <c r="BP41" s="901"/>
      <c r="BQ41" s="898"/>
      <c r="BR41" s="898"/>
      <c r="BS41" s="898"/>
      <c r="BT41" s="898"/>
      <c r="BU41" s="898"/>
      <c r="BV41" s="900">
        <v>2</v>
      </c>
      <c r="BW41" s="900">
        <v>2</v>
      </c>
      <c r="BX41" s="900"/>
      <c r="BY41" s="901"/>
      <c r="BZ41" s="901"/>
      <c r="CA41" s="901"/>
      <c r="CB41" s="898"/>
      <c r="CC41" s="898"/>
      <c r="CD41" s="898"/>
      <c r="CE41" s="898"/>
      <c r="CF41" s="898"/>
      <c r="CG41" s="900">
        <v>1</v>
      </c>
      <c r="CH41" s="900"/>
      <c r="CI41" s="900"/>
      <c r="CJ41" s="901"/>
      <c r="CK41" s="901"/>
      <c r="CL41" s="901"/>
      <c r="CM41" s="898"/>
      <c r="CN41" s="898"/>
      <c r="CO41" s="898"/>
      <c r="CP41" s="898"/>
      <c r="CQ41" s="898"/>
      <c r="CR41" s="900">
        <v>2</v>
      </c>
      <c r="CS41" s="900">
        <v>2</v>
      </c>
      <c r="CT41" s="900"/>
      <c r="CU41" s="901"/>
      <c r="CV41" s="901"/>
      <c r="CW41" s="901"/>
      <c r="CX41" s="898"/>
      <c r="CY41" s="898"/>
      <c r="CZ41" s="898"/>
      <c r="DA41" s="898"/>
      <c r="DB41" s="898"/>
      <c r="DC41" s="900"/>
      <c r="DD41" s="900"/>
      <c r="DE41" s="900"/>
      <c r="DF41" s="901"/>
      <c r="DG41" s="901"/>
      <c r="DH41" s="901"/>
      <c r="DI41" s="898"/>
      <c r="DJ41" s="901"/>
      <c r="DK41" s="898"/>
      <c r="DL41" s="898"/>
      <c r="DM41" s="898"/>
      <c r="DN41" s="900"/>
      <c r="DO41" s="900"/>
      <c r="DP41" s="900"/>
      <c r="DQ41" s="901"/>
      <c r="DR41" s="901"/>
      <c r="DS41" s="901"/>
      <c r="DT41" s="898"/>
      <c r="DU41" s="898"/>
      <c r="DV41" s="898"/>
      <c r="DW41" s="898"/>
      <c r="DX41" s="898"/>
      <c r="DY41" s="900"/>
      <c r="DZ41" s="900"/>
      <c r="EA41" s="900"/>
      <c r="EB41" s="901"/>
      <c r="EC41" s="901"/>
      <c r="ED41" s="901"/>
      <c r="EE41" s="898"/>
      <c r="EF41" s="898"/>
      <c r="EG41" s="898"/>
      <c r="EH41" s="898"/>
      <c r="EI41" s="898"/>
      <c r="EJ41" s="900"/>
      <c r="EK41" s="900"/>
      <c r="EL41" s="900"/>
      <c r="EM41" s="901"/>
      <c r="EN41" s="901"/>
      <c r="EO41" s="901"/>
      <c r="EP41" s="898"/>
      <c r="EQ41" s="898"/>
      <c r="ER41" s="898"/>
      <c r="ES41" s="898"/>
      <c r="ET41" s="898"/>
      <c r="EU41" s="900"/>
      <c r="EV41" s="900"/>
      <c r="EW41" s="900"/>
      <c r="EX41" s="901"/>
      <c r="EY41" s="901"/>
      <c r="EZ41" s="901"/>
      <c r="FA41" s="898"/>
      <c r="FB41" s="898"/>
      <c r="FC41" s="898"/>
      <c r="FD41" s="898"/>
      <c r="FE41" s="898"/>
      <c r="FF41" s="900"/>
      <c r="FG41" s="900"/>
      <c r="FH41" s="900"/>
      <c r="FI41" s="901"/>
      <c r="FJ41" s="901"/>
      <c r="FK41" s="901"/>
      <c r="FL41" s="898"/>
      <c r="FM41" s="898"/>
      <c r="FN41" s="898"/>
      <c r="FO41" s="898"/>
      <c r="FP41" s="898"/>
      <c r="FQ41" s="902">
        <f t="shared" si="10"/>
        <v>12</v>
      </c>
      <c r="FR41" s="902">
        <f t="shared" si="0"/>
        <v>8</v>
      </c>
      <c r="FS41" s="902">
        <f t="shared" si="11"/>
        <v>0</v>
      </c>
      <c r="FT41" s="902">
        <f t="shared" si="7"/>
        <v>0</v>
      </c>
      <c r="FU41" s="902">
        <f t="shared" si="8"/>
        <v>0</v>
      </c>
      <c r="FV41" s="902">
        <f t="shared" si="9"/>
        <v>0</v>
      </c>
      <c r="FW41" s="902">
        <f t="shared" si="5"/>
        <v>0</v>
      </c>
    </row>
    <row r="42" spans="1:179" s="636" customFormat="1" ht="18">
      <c r="A42" s="630">
        <v>21</v>
      </c>
      <c r="B42" s="631"/>
      <c r="C42" s="631"/>
      <c r="D42" s="630"/>
      <c r="E42" s="632"/>
      <c r="F42" s="632"/>
      <c r="G42" s="632"/>
      <c r="H42" s="632"/>
      <c r="I42" s="632"/>
      <c r="J42" s="632"/>
      <c r="K42" s="632"/>
      <c r="L42" s="633"/>
      <c r="M42" s="631"/>
      <c r="N42" s="631"/>
      <c r="O42" s="631"/>
      <c r="P42" s="634"/>
      <c r="Q42" s="634"/>
      <c r="R42" s="634"/>
      <c r="S42" s="634"/>
      <c r="T42" s="632"/>
      <c r="U42" s="632"/>
      <c r="V42" s="632"/>
      <c r="W42" s="632"/>
      <c r="X42" s="631"/>
      <c r="Y42" s="631"/>
      <c r="Z42" s="631"/>
      <c r="AA42" s="634"/>
      <c r="AB42" s="634"/>
      <c r="AC42" s="680"/>
      <c r="AD42" s="680"/>
      <c r="AE42" s="680"/>
      <c r="AF42" s="632"/>
      <c r="AG42" s="632"/>
      <c r="AH42" s="632"/>
      <c r="AI42" s="632"/>
      <c r="AJ42" s="632"/>
      <c r="AK42" s="631"/>
      <c r="AL42" s="631"/>
      <c r="AM42" s="631"/>
      <c r="AN42" s="634"/>
      <c r="AO42" s="634"/>
      <c r="AP42" s="632"/>
      <c r="AQ42" s="632"/>
      <c r="AR42" s="632"/>
      <c r="AS42" s="632"/>
      <c r="AT42" s="632"/>
      <c r="AU42" s="632"/>
      <c r="AV42" s="631"/>
      <c r="AW42" s="631"/>
      <c r="AX42" s="631"/>
      <c r="AY42" s="634"/>
      <c r="AZ42" s="634"/>
      <c r="BA42" s="634"/>
      <c r="BB42" s="634"/>
      <c r="BC42" s="634"/>
      <c r="BD42" s="634"/>
      <c r="BE42" s="634"/>
      <c r="BF42" s="634"/>
      <c r="BG42" s="632"/>
      <c r="BH42" s="632"/>
      <c r="BI42" s="632"/>
      <c r="BJ42" s="632"/>
      <c r="BK42" s="631"/>
      <c r="BL42" s="631"/>
      <c r="BM42" s="631"/>
      <c r="BN42" s="634"/>
      <c r="BO42" s="634"/>
      <c r="BP42" s="632"/>
      <c r="BQ42" s="632"/>
      <c r="BR42" s="632"/>
      <c r="BS42" s="632"/>
      <c r="BT42" s="632"/>
      <c r="BU42" s="632"/>
      <c r="BV42" s="631"/>
      <c r="BW42" s="631"/>
      <c r="BX42" s="631"/>
      <c r="BY42" s="634"/>
      <c r="BZ42" s="634"/>
      <c r="CA42" s="632"/>
      <c r="CB42" s="632"/>
      <c r="CC42" s="632"/>
      <c r="CD42" s="632"/>
      <c r="CE42" s="632"/>
      <c r="CF42" s="632"/>
      <c r="CG42" s="631"/>
      <c r="CH42" s="631"/>
      <c r="CI42" s="631"/>
      <c r="CJ42" s="634"/>
      <c r="CK42" s="634"/>
      <c r="CL42" s="632"/>
      <c r="CM42" s="632"/>
      <c r="CN42" s="632"/>
      <c r="CO42" s="632"/>
      <c r="CP42" s="632"/>
      <c r="CQ42" s="632"/>
      <c r="CR42" s="631"/>
      <c r="CS42" s="631"/>
      <c r="CT42" s="631"/>
      <c r="CU42" s="634"/>
      <c r="CV42" s="634"/>
      <c r="CW42" s="632"/>
      <c r="CX42" s="632"/>
      <c r="CY42" s="836"/>
      <c r="CZ42" s="632"/>
      <c r="DA42" s="632"/>
      <c r="DB42" s="632"/>
      <c r="DC42" s="631"/>
      <c r="DD42" s="631"/>
      <c r="DE42" s="631"/>
      <c r="DF42" s="634"/>
      <c r="DG42" s="634"/>
      <c r="DH42" s="632"/>
      <c r="DI42" s="632"/>
      <c r="DJ42" s="632"/>
      <c r="DK42" s="632"/>
      <c r="DL42" s="632"/>
      <c r="DM42" s="632"/>
      <c r="DN42" s="631"/>
      <c r="DO42" s="631"/>
      <c r="DP42" s="631"/>
      <c r="DQ42" s="634"/>
      <c r="DR42" s="634"/>
      <c r="DS42" s="632"/>
      <c r="DT42" s="632"/>
      <c r="DU42" s="836"/>
      <c r="DV42" s="632"/>
      <c r="DW42" s="632"/>
      <c r="DX42" s="632"/>
      <c r="DY42" s="631"/>
      <c r="DZ42" s="631"/>
      <c r="EA42" s="631"/>
      <c r="EB42" s="634"/>
      <c r="EC42" s="634"/>
      <c r="ED42" s="632"/>
      <c r="EE42" s="632"/>
      <c r="EF42" s="836"/>
      <c r="EG42" s="632"/>
      <c r="EH42" s="632"/>
      <c r="EI42" s="632"/>
      <c r="EJ42" s="631"/>
      <c r="EK42" s="631"/>
      <c r="EL42" s="631"/>
      <c r="EM42" s="634"/>
      <c r="EN42" s="634"/>
      <c r="EO42" s="632"/>
      <c r="EP42" s="632"/>
      <c r="EQ42" s="632"/>
      <c r="ER42" s="632"/>
      <c r="ES42" s="632"/>
      <c r="ET42" s="632"/>
      <c r="EU42" s="631"/>
      <c r="EV42" s="631"/>
      <c r="EW42" s="631"/>
      <c r="EX42" s="634"/>
      <c r="EY42" s="634"/>
      <c r="EZ42" s="632"/>
      <c r="FA42" s="632"/>
      <c r="FB42" s="836"/>
      <c r="FC42" s="632"/>
      <c r="FD42" s="632"/>
      <c r="FE42" s="632"/>
      <c r="FF42" s="631"/>
      <c r="FG42" s="631"/>
      <c r="FH42" s="631"/>
      <c r="FI42" s="634"/>
      <c r="FJ42" s="634"/>
      <c r="FK42" s="632"/>
      <c r="FL42" s="632"/>
      <c r="FM42" s="836"/>
      <c r="FN42" s="632"/>
      <c r="FO42" s="632"/>
      <c r="FP42" s="632"/>
      <c r="FQ42" s="635">
        <f t="shared" si="10"/>
        <v>0</v>
      </c>
      <c r="FR42" s="635">
        <f t="shared" si="0"/>
        <v>0</v>
      </c>
      <c r="FS42" s="635">
        <f t="shared" si="11"/>
        <v>0</v>
      </c>
      <c r="FT42" s="635">
        <f t="shared" si="7"/>
        <v>0</v>
      </c>
      <c r="FU42" s="635">
        <f t="shared" si="8"/>
        <v>0</v>
      </c>
      <c r="FV42" s="635">
        <f t="shared" si="9"/>
        <v>0</v>
      </c>
      <c r="FW42" s="635">
        <f t="shared" si="5"/>
        <v>0</v>
      </c>
    </row>
    <row r="43" spans="1:179" s="839" customFormat="1" ht="16.5" customHeight="1">
      <c r="A43" s="475">
        <v>22</v>
      </c>
      <c r="B43" s="11"/>
      <c r="C43" s="11"/>
      <c r="D43" s="475"/>
      <c r="E43" s="476"/>
      <c r="F43" s="476"/>
      <c r="G43" s="476"/>
      <c r="H43" s="476"/>
      <c r="I43" s="476"/>
      <c r="J43" s="476"/>
      <c r="K43" s="476"/>
      <c r="L43" s="477"/>
      <c r="M43" s="11"/>
      <c r="N43" s="11"/>
      <c r="O43" s="11"/>
      <c r="P43" s="478"/>
      <c r="Q43" s="478"/>
      <c r="R43" s="478"/>
      <c r="S43" s="476"/>
      <c r="T43" s="478"/>
      <c r="U43" s="476"/>
      <c r="V43" s="476"/>
      <c r="W43" s="476"/>
      <c r="X43" s="11"/>
      <c r="Y43" s="11"/>
      <c r="Z43" s="11"/>
      <c r="AA43" s="478"/>
      <c r="AB43" s="478"/>
      <c r="AC43" s="478"/>
      <c r="AD43" s="478"/>
      <c r="AE43" s="478"/>
      <c r="AF43" s="476"/>
      <c r="AG43" s="476"/>
      <c r="AH43" s="476"/>
      <c r="AI43" s="476"/>
      <c r="AJ43" s="476"/>
      <c r="AK43" s="11"/>
      <c r="AL43" s="11"/>
      <c r="AM43" s="11"/>
      <c r="AN43" s="478"/>
      <c r="AO43" s="478"/>
      <c r="AP43" s="478"/>
      <c r="AQ43" s="478"/>
      <c r="AR43" s="478"/>
      <c r="AS43" s="476"/>
      <c r="AT43" s="476"/>
      <c r="AU43" s="476"/>
      <c r="AV43" s="11"/>
      <c r="AW43" s="11"/>
      <c r="AX43" s="11"/>
      <c r="AY43" s="478"/>
      <c r="AZ43" s="478"/>
      <c r="BA43" s="478"/>
      <c r="BB43" s="476"/>
      <c r="BC43" s="476"/>
      <c r="BD43" s="476"/>
      <c r="BE43" s="476"/>
      <c r="BF43" s="476"/>
      <c r="BG43" s="476"/>
      <c r="BH43" s="476"/>
      <c r="BI43" s="476"/>
      <c r="BJ43" s="476"/>
      <c r="BK43" s="11"/>
      <c r="BL43" s="11"/>
      <c r="BM43" s="11"/>
      <c r="BN43" s="478"/>
      <c r="BO43" s="478"/>
      <c r="BP43" s="478"/>
      <c r="BQ43" s="478"/>
      <c r="BR43" s="476"/>
      <c r="BS43" s="478"/>
      <c r="BT43" s="476"/>
      <c r="BU43" s="476"/>
      <c r="BV43" s="11"/>
      <c r="BW43" s="11"/>
      <c r="BX43" s="11"/>
      <c r="BY43" s="478"/>
      <c r="BZ43" s="478"/>
      <c r="CA43" s="478"/>
      <c r="CB43" s="478"/>
      <c r="CC43" s="476"/>
      <c r="CD43" s="476"/>
      <c r="CE43" s="476"/>
      <c r="CF43" s="476"/>
      <c r="CG43" s="11"/>
      <c r="CH43" s="11"/>
      <c r="CI43" s="11"/>
      <c r="CJ43" s="478"/>
      <c r="CK43" s="478"/>
      <c r="CL43" s="478"/>
      <c r="CM43" s="478"/>
      <c r="CN43" s="476"/>
      <c r="CO43" s="476"/>
      <c r="CP43" s="476"/>
      <c r="CQ43" s="476"/>
      <c r="CR43" s="11"/>
      <c r="CS43" s="11"/>
      <c r="CT43" s="11"/>
      <c r="CU43" s="478"/>
      <c r="CV43" s="478"/>
      <c r="CW43" s="478"/>
      <c r="CX43" s="478"/>
      <c r="CY43" s="476"/>
      <c r="CZ43" s="476"/>
      <c r="DA43" s="476"/>
      <c r="DB43" s="476"/>
      <c r="DC43" s="11"/>
      <c r="DD43" s="11"/>
      <c r="DE43" s="11"/>
      <c r="DF43" s="478"/>
      <c r="DG43" s="478"/>
      <c r="DH43" s="478"/>
      <c r="DI43" s="478"/>
      <c r="DJ43" s="476"/>
      <c r="DK43" s="476"/>
      <c r="DL43" s="476"/>
      <c r="DM43" s="476"/>
      <c r="DN43" s="11"/>
      <c r="DO43" s="11"/>
      <c r="DP43" s="11"/>
      <c r="DQ43" s="478"/>
      <c r="DR43" s="478"/>
      <c r="DS43" s="478"/>
      <c r="DT43" s="478"/>
      <c r="DU43" s="476"/>
      <c r="DV43" s="476"/>
      <c r="DW43" s="476"/>
      <c r="DX43" s="476"/>
      <c r="DY43" s="11"/>
      <c r="DZ43" s="11"/>
      <c r="EA43" s="11"/>
      <c r="EB43" s="478"/>
      <c r="EC43" s="478"/>
      <c r="ED43" s="478"/>
      <c r="EE43" s="478"/>
      <c r="EF43" s="476"/>
      <c r="EG43" s="476"/>
      <c r="EH43" s="476"/>
      <c r="EI43" s="476"/>
      <c r="EJ43" s="11"/>
      <c r="EK43" s="11"/>
      <c r="EL43" s="11"/>
      <c r="EM43" s="478"/>
      <c r="EN43" s="478"/>
      <c r="EO43" s="478"/>
      <c r="EP43" s="478"/>
      <c r="EQ43" s="476"/>
      <c r="ER43" s="476"/>
      <c r="ES43" s="476"/>
      <c r="ET43" s="476"/>
      <c r="EU43" s="11"/>
      <c r="EV43" s="11"/>
      <c r="EW43" s="11"/>
      <c r="EX43" s="478"/>
      <c r="EY43" s="478"/>
      <c r="EZ43" s="478"/>
      <c r="FA43" s="478"/>
      <c r="FB43" s="476"/>
      <c r="FC43" s="476"/>
      <c r="FD43" s="476"/>
      <c r="FE43" s="476"/>
      <c r="FF43" s="11"/>
      <c r="FG43" s="11"/>
      <c r="FH43" s="11"/>
      <c r="FI43" s="478"/>
      <c r="FJ43" s="478"/>
      <c r="FK43" s="478"/>
      <c r="FL43" s="478"/>
      <c r="FM43" s="476"/>
      <c r="FN43" s="476"/>
      <c r="FO43" s="476"/>
      <c r="FP43" s="476"/>
      <c r="FQ43" s="488">
        <f t="shared" si="10"/>
        <v>0</v>
      </c>
      <c r="FR43" s="488">
        <f t="shared" si="0"/>
        <v>0</v>
      </c>
      <c r="FS43" s="488">
        <f t="shared" si="11"/>
        <v>0</v>
      </c>
      <c r="FT43" s="488">
        <f t="shared" si="7"/>
        <v>0</v>
      </c>
      <c r="FU43" s="488">
        <f t="shared" si="8"/>
        <v>0</v>
      </c>
      <c r="FV43" s="488">
        <f t="shared" si="9"/>
        <v>0</v>
      </c>
      <c r="FW43" s="488">
        <f t="shared" si="5"/>
        <v>0</v>
      </c>
    </row>
    <row r="44" spans="1:179" s="636" customFormat="1" ht="17.100000000000001" customHeight="1">
      <c r="A44" s="630">
        <v>23</v>
      </c>
      <c r="B44" s="631"/>
      <c r="C44" s="631"/>
      <c r="D44" s="630"/>
      <c r="E44" s="632"/>
      <c r="F44" s="632"/>
      <c r="G44" s="632"/>
      <c r="H44" s="632"/>
      <c r="I44" s="632"/>
      <c r="J44" s="632"/>
      <c r="K44" s="632"/>
      <c r="L44" s="633"/>
      <c r="M44" s="631"/>
      <c r="N44" s="631"/>
      <c r="O44" s="631"/>
      <c r="P44" s="634"/>
      <c r="Q44" s="634"/>
      <c r="R44" s="634"/>
      <c r="S44" s="632"/>
      <c r="T44" s="632"/>
      <c r="U44" s="632"/>
      <c r="V44" s="632"/>
      <c r="W44" s="632"/>
      <c r="X44" s="631"/>
      <c r="Y44" s="631"/>
      <c r="Z44" s="631"/>
      <c r="AA44" s="634"/>
      <c r="AB44" s="634"/>
      <c r="AC44" s="634"/>
      <c r="AD44" s="634"/>
      <c r="AE44" s="634"/>
      <c r="AF44" s="632"/>
      <c r="AG44" s="634"/>
      <c r="AH44" s="632"/>
      <c r="AI44" s="632"/>
      <c r="AJ44" s="632"/>
      <c r="AK44" s="631"/>
      <c r="AL44" s="631"/>
      <c r="AM44" s="631"/>
      <c r="AN44" s="634"/>
      <c r="AO44" s="634"/>
      <c r="AP44" s="634"/>
      <c r="AQ44" s="634"/>
      <c r="AR44" s="634"/>
      <c r="AS44" s="632"/>
      <c r="AT44" s="632"/>
      <c r="AU44" s="632"/>
      <c r="AV44" s="631"/>
      <c r="AW44" s="631"/>
      <c r="AX44" s="631"/>
      <c r="AY44" s="634"/>
      <c r="AZ44" s="634"/>
      <c r="BA44" s="634"/>
      <c r="BB44" s="634"/>
      <c r="BC44" s="634"/>
      <c r="BD44" s="634"/>
      <c r="BE44" s="634"/>
      <c r="BF44" s="634"/>
      <c r="BG44" s="632"/>
      <c r="BH44" s="632"/>
      <c r="BI44" s="632"/>
      <c r="BJ44" s="632"/>
      <c r="BK44" s="631"/>
      <c r="BL44" s="631"/>
      <c r="BM44" s="631"/>
      <c r="BN44" s="634"/>
      <c r="BO44" s="634"/>
      <c r="BP44" s="634"/>
      <c r="BQ44" s="634"/>
      <c r="BR44" s="634"/>
      <c r="BS44" s="632"/>
      <c r="BT44" s="632"/>
      <c r="BU44" s="632"/>
      <c r="BV44" s="631"/>
      <c r="BW44" s="631"/>
      <c r="BX44" s="631"/>
      <c r="BY44" s="634"/>
      <c r="BZ44" s="634"/>
      <c r="CA44" s="634"/>
      <c r="CB44" s="632"/>
      <c r="CC44" s="632"/>
      <c r="CD44" s="632"/>
      <c r="CE44" s="632"/>
      <c r="CF44" s="632"/>
      <c r="CG44" s="631"/>
      <c r="CH44" s="631"/>
      <c r="CI44" s="631"/>
      <c r="CJ44" s="634"/>
      <c r="CK44" s="634"/>
      <c r="CL44" s="634"/>
      <c r="CM44" s="634"/>
      <c r="CN44" s="634"/>
      <c r="CO44" s="632"/>
      <c r="CP44" s="632"/>
      <c r="CQ44" s="632"/>
      <c r="CR44" s="631"/>
      <c r="CS44" s="631"/>
      <c r="CT44" s="631"/>
      <c r="CU44" s="634"/>
      <c r="CV44" s="634"/>
      <c r="CW44" s="634"/>
      <c r="CX44" s="634"/>
      <c r="CY44" s="634"/>
      <c r="CZ44" s="632"/>
      <c r="DA44" s="632"/>
      <c r="DB44" s="632"/>
      <c r="DC44" s="631"/>
      <c r="DD44" s="631"/>
      <c r="DE44" s="631"/>
      <c r="DF44" s="634"/>
      <c r="DG44" s="634"/>
      <c r="DH44" s="634"/>
      <c r="DI44" s="634"/>
      <c r="DJ44" s="634"/>
      <c r="DK44" s="632"/>
      <c r="DL44" s="632"/>
      <c r="DM44" s="632"/>
      <c r="DN44" s="631"/>
      <c r="DO44" s="631"/>
      <c r="DP44" s="631"/>
      <c r="DQ44" s="634"/>
      <c r="DR44" s="634"/>
      <c r="DS44" s="634"/>
      <c r="DT44" s="634"/>
      <c r="DU44" s="634"/>
      <c r="DV44" s="632"/>
      <c r="DW44" s="632"/>
      <c r="DX44" s="632"/>
      <c r="DY44" s="631"/>
      <c r="DZ44" s="631"/>
      <c r="EA44" s="631"/>
      <c r="EB44" s="634"/>
      <c r="EC44" s="634"/>
      <c r="ED44" s="634"/>
      <c r="EE44" s="634"/>
      <c r="EF44" s="634"/>
      <c r="EG44" s="632"/>
      <c r="EH44" s="632"/>
      <c r="EI44" s="632"/>
      <c r="EJ44" s="631"/>
      <c r="EK44" s="631"/>
      <c r="EL44" s="631"/>
      <c r="EM44" s="634"/>
      <c r="EN44" s="634"/>
      <c r="EO44" s="634"/>
      <c r="EP44" s="634"/>
      <c r="EQ44" s="634"/>
      <c r="ER44" s="632"/>
      <c r="ES44" s="632"/>
      <c r="ET44" s="632"/>
      <c r="EU44" s="631"/>
      <c r="EV44" s="631"/>
      <c r="EW44" s="631"/>
      <c r="EX44" s="634"/>
      <c r="EY44" s="634"/>
      <c r="EZ44" s="634"/>
      <c r="FA44" s="634"/>
      <c r="FB44" s="634"/>
      <c r="FC44" s="632"/>
      <c r="FD44" s="632"/>
      <c r="FE44" s="632"/>
      <c r="FF44" s="631"/>
      <c r="FG44" s="631"/>
      <c r="FH44" s="631"/>
      <c r="FI44" s="634"/>
      <c r="FJ44" s="634"/>
      <c r="FK44" s="634"/>
      <c r="FL44" s="634"/>
      <c r="FM44" s="634"/>
      <c r="FN44" s="632"/>
      <c r="FO44" s="632"/>
      <c r="FP44" s="632"/>
      <c r="FQ44" s="635">
        <f t="shared" si="10"/>
        <v>0</v>
      </c>
      <c r="FR44" s="635">
        <f t="shared" si="0"/>
        <v>0</v>
      </c>
      <c r="FS44" s="635">
        <f t="shared" si="11"/>
        <v>0</v>
      </c>
      <c r="FT44" s="635">
        <f t="shared" si="7"/>
        <v>0</v>
      </c>
      <c r="FU44" s="635">
        <f t="shared" si="8"/>
        <v>0</v>
      </c>
      <c r="FV44" s="635">
        <f t="shared" si="9"/>
        <v>0</v>
      </c>
      <c r="FW44" s="635">
        <f t="shared" si="5"/>
        <v>0</v>
      </c>
    </row>
    <row r="45" spans="1:179" s="794" customFormat="1" ht="16.5" customHeight="1">
      <c r="A45" s="475">
        <v>24</v>
      </c>
      <c r="B45" s="11"/>
      <c r="C45" s="11"/>
      <c r="D45" s="475"/>
      <c r="E45" s="476"/>
      <c r="F45" s="476"/>
      <c r="G45" s="476"/>
      <c r="H45" s="476"/>
      <c r="I45" s="476"/>
      <c r="J45" s="476"/>
      <c r="K45" s="476"/>
      <c r="L45" s="477"/>
      <c r="M45" s="11"/>
      <c r="N45" s="11"/>
      <c r="O45" s="11"/>
      <c r="P45" s="478"/>
      <c r="Q45" s="478"/>
      <c r="R45" s="476"/>
      <c r="S45" s="476"/>
      <c r="T45" s="476"/>
      <c r="U45" s="476"/>
      <c r="V45" s="476"/>
      <c r="W45" s="476"/>
      <c r="X45" s="11"/>
      <c r="Y45" s="11"/>
      <c r="Z45" s="11"/>
      <c r="AA45" s="478"/>
      <c r="AB45" s="478"/>
      <c r="AC45" s="476"/>
      <c r="AD45" s="476"/>
      <c r="AE45" s="476"/>
      <c r="AF45" s="476"/>
      <c r="AG45" s="476"/>
      <c r="AH45" s="476"/>
      <c r="AI45" s="476"/>
      <c r="AJ45" s="476"/>
      <c r="AK45" s="11"/>
      <c r="AL45" s="11"/>
      <c r="AM45" s="11"/>
      <c r="AN45" s="478"/>
      <c r="AO45" s="478"/>
      <c r="AP45" s="478"/>
      <c r="AQ45" s="476"/>
      <c r="AR45" s="476"/>
      <c r="AS45" s="476"/>
      <c r="AT45" s="476"/>
      <c r="AU45" s="476"/>
      <c r="AV45" s="11"/>
      <c r="AW45" s="11"/>
      <c r="AX45" s="11"/>
      <c r="AY45" s="478"/>
      <c r="AZ45" s="478"/>
      <c r="BA45" s="478"/>
      <c r="BB45" s="478"/>
      <c r="BC45" s="478"/>
      <c r="BD45" s="478"/>
      <c r="BE45" s="478"/>
      <c r="BF45" s="476"/>
      <c r="BG45" s="476"/>
      <c r="BH45" s="476"/>
      <c r="BI45" s="476"/>
      <c r="BJ45" s="476"/>
      <c r="BK45" s="11"/>
      <c r="BL45" s="11"/>
      <c r="BM45" s="11"/>
      <c r="BN45" s="478"/>
      <c r="BO45" s="478"/>
      <c r="BP45" s="478"/>
      <c r="BQ45" s="476"/>
      <c r="BR45" s="476"/>
      <c r="BS45" s="476"/>
      <c r="BT45" s="476"/>
      <c r="BU45" s="476"/>
      <c r="BV45" s="11"/>
      <c r="BW45" s="11"/>
      <c r="BX45" s="11"/>
      <c r="BY45" s="478"/>
      <c r="BZ45" s="478"/>
      <c r="CA45" s="478"/>
      <c r="CB45" s="476"/>
      <c r="CC45" s="476"/>
      <c r="CD45" s="476"/>
      <c r="CE45" s="476"/>
      <c r="CF45" s="476"/>
      <c r="CG45" s="11"/>
      <c r="CH45" s="11"/>
      <c r="CI45" s="11"/>
      <c r="CJ45" s="478"/>
      <c r="CK45" s="478"/>
      <c r="CL45" s="478"/>
      <c r="CM45" s="476"/>
      <c r="CN45" s="476"/>
      <c r="CO45" s="476"/>
      <c r="CP45" s="476"/>
      <c r="CQ45" s="476"/>
      <c r="CR45" s="11"/>
      <c r="CS45" s="11"/>
      <c r="CT45" s="11"/>
      <c r="CU45" s="478"/>
      <c r="CV45" s="478"/>
      <c r="CW45" s="478"/>
      <c r="CX45" s="476"/>
      <c r="CY45" s="476"/>
      <c r="CZ45" s="476"/>
      <c r="DA45" s="476"/>
      <c r="DB45" s="476"/>
      <c r="DC45" s="11"/>
      <c r="DD45" s="11"/>
      <c r="DE45" s="11"/>
      <c r="DF45" s="478"/>
      <c r="DG45" s="478"/>
      <c r="DH45" s="478"/>
      <c r="DI45" s="476"/>
      <c r="DJ45" s="476"/>
      <c r="DK45" s="476"/>
      <c r="DL45" s="476"/>
      <c r="DM45" s="476"/>
      <c r="DN45" s="11"/>
      <c r="DO45" s="11"/>
      <c r="DP45" s="11"/>
      <c r="DQ45" s="478"/>
      <c r="DR45" s="478"/>
      <c r="DS45" s="478"/>
      <c r="DT45" s="476"/>
      <c r="DU45" s="476"/>
      <c r="DV45" s="476"/>
      <c r="DW45" s="476"/>
      <c r="DX45" s="476"/>
      <c r="DY45" s="11"/>
      <c r="DZ45" s="11"/>
      <c r="EA45" s="11"/>
      <c r="EB45" s="478"/>
      <c r="EC45" s="478"/>
      <c r="ED45" s="478"/>
      <c r="EE45" s="476"/>
      <c r="EF45" s="476"/>
      <c r="EG45" s="476"/>
      <c r="EH45" s="476"/>
      <c r="EI45" s="476"/>
      <c r="EJ45" s="11"/>
      <c r="EK45" s="11"/>
      <c r="EL45" s="11"/>
      <c r="EM45" s="478"/>
      <c r="EN45" s="478"/>
      <c r="EO45" s="478"/>
      <c r="EP45" s="476"/>
      <c r="EQ45" s="476"/>
      <c r="ER45" s="476"/>
      <c r="ES45" s="476"/>
      <c r="ET45" s="476"/>
      <c r="EU45" s="11"/>
      <c r="EV45" s="11"/>
      <c r="EW45" s="11"/>
      <c r="EX45" s="478"/>
      <c r="EY45" s="478"/>
      <c r="EZ45" s="478"/>
      <c r="FA45" s="476"/>
      <c r="FB45" s="476"/>
      <c r="FC45" s="476"/>
      <c r="FD45" s="476"/>
      <c r="FE45" s="476"/>
      <c r="FF45" s="11"/>
      <c r="FG45" s="11"/>
      <c r="FH45" s="11"/>
      <c r="FI45" s="478"/>
      <c r="FJ45" s="478"/>
      <c r="FK45" s="478"/>
      <c r="FL45" s="476"/>
      <c r="FM45" s="476"/>
      <c r="FN45" s="476"/>
      <c r="FO45" s="476"/>
      <c r="FP45" s="476"/>
      <c r="FQ45" s="488">
        <f t="shared" si="10"/>
        <v>0</v>
      </c>
      <c r="FR45" s="488">
        <f t="shared" si="0"/>
        <v>0</v>
      </c>
      <c r="FS45" s="488">
        <f t="shared" si="11"/>
        <v>0</v>
      </c>
      <c r="FT45" s="488">
        <f t="shared" si="7"/>
        <v>0</v>
      </c>
      <c r="FU45" s="488">
        <f t="shared" si="8"/>
        <v>0</v>
      </c>
      <c r="FV45" s="488">
        <f t="shared" si="9"/>
        <v>0</v>
      </c>
      <c r="FW45" s="488">
        <f t="shared" si="5"/>
        <v>0</v>
      </c>
    </row>
    <row r="46" spans="1:179" s="636" customFormat="1" ht="16.5" customHeight="1">
      <c r="A46" s="630">
        <v>25</v>
      </c>
      <c r="B46" s="713"/>
      <c r="C46" s="713"/>
      <c r="D46" s="630"/>
      <c r="E46" s="632"/>
      <c r="F46" s="632"/>
      <c r="G46" s="632"/>
      <c r="H46" s="632"/>
      <c r="I46" s="632"/>
      <c r="J46" s="632"/>
      <c r="K46" s="632"/>
      <c r="L46" s="633"/>
      <c r="M46" s="631"/>
      <c r="N46" s="631"/>
      <c r="O46" s="631"/>
      <c r="P46" s="634"/>
      <c r="Q46" s="634"/>
      <c r="R46" s="634"/>
      <c r="S46" s="632"/>
      <c r="T46" s="632"/>
      <c r="U46" s="632"/>
      <c r="V46" s="632"/>
      <c r="W46" s="632"/>
      <c r="X46" s="631"/>
      <c r="Y46" s="631"/>
      <c r="Z46" s="631"/>
      <c r="AA46" s="634"/>
      <c r="AB46" s="634"/>
      <c r="AC46" s="634"/>
      <c r="AD46" s="634"/>
      <c r="AE46" s="634"/>
      <c r="AF46" s="632"/>
      <c r="AG46" s="632"/>
      <c r="AH46" s="632"/>
      <c r="AI46" s="632"/>
      <c r="AJ46" s="632"/>
      <c r="AK46" s="631"/>
      <c r="AL46" s="631"/>
      <c r="AM46" s="631"/>
      <c r="AN46" s="634"/>
      <c r="AO46" s="634"/>
      <c r="AP46" s="632"/>
      <c r="AQ46" s="632"/>
      <c r="AR46" s="632"/>
      <c r="AS46" s="632"/>
      <c r="AT46" s="632"/>
      <c r="AU46" s="632"/>
      <c r="AV46" s="631"/>
      <c r="AW46" s="631"/>
      <c r="AX46" s="631"/>
      <c r="AY46" s="634"/>
      <c r="AZ46" s="634"/>
      <c r="BA46" s="632"/>
      <c r="BB46" s="841"/>
      <c r="BC46" s="841"/>
      <c r="BD46" s="841"/>
      <c r="BE46" s="841"/>
      <c r="BF46" s="632"/>
      <c r="BG46" s="632"/>
      <c r="BH46" s="632"/>
      <c r="BI46" s="632"/>
      <c r="BJ46" s="632"/>
      <c r="BK46" s="631"/>
      <c r="BL46" s="631"/>
      <c r="BM46" s="631"/>
      <c r="BN46" s="634"/>
      <c r="BO46" s="634"/>
      <c r="BP46" s="632"/>
      <c r="BQ46" s="632"/>
      <c r="BR46" s="632"/>
      <c r="BS46" s="632"/>
      <c r="BT46" s="632"/>
      <c r="BU46" s="632"/>
      <c r="BV46" s="631"/>
      <c r="BW46" s="631"/>
      <c r="BX46" s="631"/>
      <c r="BY46" s="634"/>
      <c r="BZ46" s="634"/>
      <c r="CA46" s="632"/>
      <c r="CB46" s="632"/>
      <c r="CC46" s="632"/>
      <c r="CD46" s="632"/>
      <c r="CE46" s="632"/>
      <c r="CF46" s="632"/>
      <c r="CG46" s="631"/>
      <c r="CH46" s="631"/>
      <c r="CI46" s="631"/>
      <c r="CJ46" s="634"/>
      <c r="CK46" s="634"/>
      <c r="CL46" s="632"/>
      <c r="CM46" s="632"/>
      <c r="CN46" s="632"/>
      <c r="CO46" s="632"/>
      <c r="CP46" s="632"/>
      <c r="CQ46" s="632"/>
      <c r="CR46" s="631"/>
      <c r="CS46" s="631"/>
      <c r="CT46" s="631"/>
      <c r="CU46" s="634"/>
      <c r="CV46" s="634"/>
      <c r="CW46" s="632"/>
      <c r="CX46" s="632"/>
      <c r="CY46" s="632"/>
      <c r="CZ46" s="632"/>
      <c r="DA46" s="632"/>
      <c r="DB46" s="632"/>
      <c r="DC46" s="631"/>
      <c r="DD46" s="631"/>
      <c r="DE46" s="631"/>
      <c r="DF46" s="634"/>
      <c r="DG46" s="634"/>
      <c r="DH46" s="632"/>
      <c r="DI46" s="632"/>
      <c r="DJ46" s="632"/>
      <c r="DK46" s="632"/>
      <c r="DL46" s="632"/>
      <c r="DM46" s="632"/>
      <c r="DN46" s="631"/>
      <c r="DO46" s="631"/>
      <c r="DP46" s="631"/>
      <c r="DQ46" s="634"/>
      <c r="DR46" s="634"/>
      <c r="DS46" s="632"/>
      <c r="DT46" s="632"/>
      <c r="DU46" s="632"/>
      <c r="DV46" s="632"/>
      <c r="DW46" s="632"/>
      <c r="DX46" s="632"/>
      <c r="DY46" s="631"/>
      <c r="DZ46" s="631"/>
      <c r="EA46" s="631"/>
      <c r="EB46" s="634"/>
      <c r="EC46" s="634"/>
      <c r="ED46" s="632"/>
      <c r="EE46" s="632"/>
      <c r="EF46" s="632"/>
      <c r="EG46" s="632"/>
      <c r="EH46" s="632"/>
      <c r="EI46" s="632"/>
      <c r="EJ46" s="631"/>
      <c r="EK46" s="631"/>
      <c r="EL46" s="631"/>
      <c r="EM46" s="634"/>
      <c r="EN46" s="634"/>
      <c r="EO46" s="632"/>
      <c r="EP46" s="632"/>
      <c r="EQ46" s="632"/>
      <c r="ER46" s="632"/>
      <c r="ES46" s="632"/>
      <c r="ET46" s="632"/>
      <c r="EU46" s="631"/>
      <c r="EV46" s="631"/>
      <c r="EW46" s="631"/>
      <c r="EX46" s="634"/>
      <c r="EY46" s="634"/>
      <c r="EZ46" s="632"/>
      <c r="FA46" s="632"/>
      <c r="FB46" s="632"/>
      <c r="FC46" s="632"/>
      <c r="FD46" s="632"/>
      <c r="FE46" s="632"/>
      <c r="FF46" s="631"/>
      <c r="FG46" s="631"/>
      <c r="FH46" s="631"/>
      <c r="FI46" s="634"/>
      <c r="FJ46" s="634"/>
      <c r="FK46" s="632"/>
      <c r="FL46" s="632"/>
      <c r="FM46" s="632"/>
      <c r="FN46" s="632"/>
      <c r="FO46" s="632"/>
      <c r="FP46" s="632"/>
      <c r="FQ46" s="635">
        <f t="shared" si="10"/>
        <v>0</v>
      </c>
      <c r="FR46" s="635">
        <f t="shared" si="0"/>
        <v>0</v>
      </c>
      <c r="FS46" s="635">
        <f t="shared" si="11"/>
        <v>0</v>
      </c>
      <c r="FT46" s="635">
        <f t="shared" si="7"/>
        <v>0</v>
      </c>
      <c r="FU46" s="635">
        <f t="shared" si="8"/>
        <v>0</v>
      </c>
      <c r="FV46" s="635">
        <f t="shared" si="9"/>
        <v>0</v>
      </c>
      <c r="FW46" s="635">
        <f t="shared" si="5"/>
        <v>0</v>
      </c>
    </row>
    <row r="47" spans="1:179" s="636" customFormat="1" ht="16.5" customHeight="1">
      <c r="A47" s="630">
        <v>26</v>
      </c>
      <c r="B47" s="713"/>
      <c r="C47" s="713"/>
      <c r="D47" s="630"/>
      <c r="E47" s="632"/>
      <c r="F47" s="632"/>
      <c r="G47" s="632"/>
      <c r="H47" s="632"/>
      <c r="I47" s="632"/>
      <c r="J47" s="632"/>
      <c r="K47" s="632"/>
      <c r="L47" s="633"/>
      <c r="M47" s="631"/>
      <c r="N47" s="631"/>
      <c r="O47" s="631"/>
      <c r="P47" s="634"/>
      <c r="Q47" s="634"/>
      <c r="R47" s="634"/>
      <c r="S47" s="634"/>
      <c r="T47" s="632"/>
      <c r="U47" s="632"/>
      <c r="V47" s="632"/>
      <c r="W47" s="632"/>
      <c r="X47" s="631"/>
      <c r="Y47" s="631"/>
      <c r="Z47" s="631"/>
      <c r="AA47" s="634"/>
      <c r="AB47" s="634"/>
      <c r="AC47" s="632"/>
      <c r="AD47" s="632"/>
      <c r="AE47" s="632"/>
      <c r="AF47" s="632"/>
      <c r="AG47" s="632"/>
      <c r="AH47" s="632"/>
      <c r="AI47" s="632"/>
      <c r="AJ47" s="632"/>
      <c r="AK47" s="631"/>
      <c r="AL47" s="631"/>
      <c r="AM47" s="631"/>
      <c r="AN47" s="634"/>
      <c r="AO47" s="634"/>
      <c r="AP47" s="632"/>
      <c r="AQ47" s="632"/>
      <c r="AR47" s="632"/>
      <c r="AS47" s="632"/>
      <c r="AT47" s="632"/>
      <c r="AU47" s="632"/>
      <c r="AV47" s="631"/>
      <c r="AW47" s="631"/>
      <c r="AX47" s="631"/>
      <c r="AY47" s="634"/>
      <c r="AZ47" s="634"/>
      <c r="BA47" s="714"/>
      <c r="BB47" s="715"/>
      <c r="BC47" s="715"/>
      <c r="BD47" s="715"/>
      <c r="BE47" s="715"/>
      <c r="BF47" s="716"/>
      <c r="BG47" s="632"/>
      <c r="BH47" s="632"/>
      <c r="BI47" s="632"/>
      <c r="BJ47" s="632"/>
      <c r="BK47" s="631"/>
      <c r="BL47" s="631"/>
      <c r="BM47" s="631"/>
      <c r="BN47" s="634"/>
      <c r="BO47" s="634"/>
      <c r="BP47" s="632"/>
      <c r="BQ47" s="632"/>
      <c r="BR47" s="632"/>
      <c r="BS47" s="632"/>
      <c r="BT47" s="632"/>
      <c r="BU47" s="632"/>
      <c r="BV47" s="631"/>
      <c r="BW47" s="631"/>
      <c r="BX47" s="631"/>
      <c r="BY47" s="634"/>
      <c r="BZ47" s="634"/>
      <c r="CA47" s="632"/>
      <c r="CB47" s="632"/>
      <c r="CC47" s="632"/>
      <c r="CD47" s="632"/>
      <c r="CE47" s="632"/>
      <c r="CF47" s="632"/>
      <c r="CG47" s="631"/>
      <c r="CH47" s="631"/>
      <c r="CI47" s="631"/>
      <c r="CJ47" s="634"/>
      <c r="CK47" s="634"/>
      <c r="CL47" s="632"/>
      <c r="CM47" s="632"/>
      <c r="CN47" s="632"/>
      <c r="CO47" s="632"/>
      <c r="CP47" s="632"/>
      <c r="CQ47" s="632"/>
      <c r="CR47" s="631"/>
      <c r="CS47" s="631"/>
      <c r="CT47" s="631"/>
      <c r="CU47" s="634"/>
      <c r="CV47" s="634"/>
      <c r="CW47" s="632"/>
      <c r="CX47" s="632"/>
      <c r="CY47" s="632"/>
      <c r="CZ47" s="632"/>
      <c r="DA47" s="632"/>
      <c r="DB47" s="632"/>
      <c r="DC47" s="631"/>
      <c r="DD47" s="631"/>
      <c r="DE47" s="631"/>
      <c r="DF47" s="634"/>
      <c r="DG47" s="634"/>
      <c r="DH47" s="632"/>
      <c r="DI47" s="632"/>
      <c r="DJ47" s="632"/>
      <c r="DK47" s="632"/>
      <c r="DL47" s="632"/>
      <c r="DM47" s="632"/>
      <c r="DN47" s="631"/>
      <c r="DO47" s="631"/>
      <c r="DP47" s="631"/>
      <c r="DQ47" s="634"/>
      <c r="DR47" s="634"/>
      <c r="DS47" s="632"/>
      <c r="DT47" s="632"/>
      <c r="DU47" s="632"/>
      <c r="DV47" s="632"/>
      <c r="DW47" s="632"/>
      <c r="DX47" s="632"/>
      <c r="DY47" s="631"/>
      <c r="DZ47" s="631"/>
      <c r="EA47" s="631"/>
      <c r="EB47" s="634"/>
      <c r="EC47" s="634"/>
      <c r="ED47" s="632"/>
      <c r="EE47" s="632"/>
      <c r="EF47" s="632"/>
      <c r="EG47" s="632"/>
      <c r="EH47" s="632"/>
      <c r="EI47" s="632"/>
      <c r="EJ47" s="631"/>
      <c r="EK47" s="631"/>
      <c r="EL47" s="631"/>
      <c r="EM47" s="634"/>
      <c r="EN47" s="634"/>
      <c r="EO47" s="632"/>
      <c r="EP47" s="632"/>
      <c r="EQ47" s="632"/>
      <c r="ER47" s="632"/>
      <c r="ES47" s="632"/>
      <c r="ET47" s="632"/>
      <c r="EU47" s="631"/>
      <c r="EV47" s="631"/>
      <c r="EW47" s="631"/>
      <c r="EX47" s="634"/>
      <c r="EY47" s="634"/>
      <c r="EZ47" s="632"/>
      <c r="FA47" s="632"/>
      <c r="FB47" s="632"/>
      <c r="FC47" s="632"/>
      <c r="FD47" s="632"/>
      <c r="FE47" s="632"/>
      <c r="FF47" s="631"/>
      <c r="FG47" s="631"/>
      <c r="FH47" s="631"/>
      <c r="FI47" s="634"/>
      <c r="FJ47" s="634"/>
      <c r="FK47" s="632"/>
      <c r="FL47" s="632"/>
      <c r="FM47" s="632"/>
      <c r="FN47" s="632"/>
      <c r="FO47" s="632"/>
      <c r="FP47" s="632"/>
      <c r="FQ47" s="635">
        <f t="shared" si="10"/>
        <v>0</v>
      </c>
      <c r="FR47" s="635">
        <f t="shared" si="0"/>
        <v>0</v>
      </c>
      <c r="FS47" s="635">
        <f t="shared" si="11"/>
        <v>0</v>
      </c>
      <c r="FT47" s="635">
        <f t="shared" si="7"/>
        <v>0</v>
      </c>
      <c r="FU47" s="635">
        <f t="shared" si="8"/>
        <v>0</v>
      </c>
      <c r="FV47" s="635">
        <f t="shared" si="9"/>
        <v>0</v>
      </c>
      <c r="FW47" s="635">
        <f t="shared" si="5"/>
        <v>0</v>
      </c>
    </row>
    <row r="48" spans="1:179" s="636" customFormat="1" ht="17.100000000000001" customHeight="1">
      <c r="A48" s="630">
        <v>27</v>
      </c>
      <c r="B48" s="713"/>
      <c r="C48" s="713"/>
      <c r="D48" s="630"/>
      <c r="E48" s="632"/>
      <c r="F48" s="632"/>
      <c r="G48" s="632"/>
      <c r="H48" s="632"/>
      <c r="I48" s="632"/>
      <c r="J48" s="632"/>
      <c r="K48" s="632"/>
      <c r="L48" s="633"/>
      <c r="M48" s="631"/>
      <c r="N48" s="631"/>
      <c r="O48" s="631"/>
      <c r="P48" s="634"/>
      <c r="Q48" s="634"/>
      <c r="R48" s="634"/>
      <c r="S48" s="632"/>
      <c r="T48" s="634"/>
      <c r="U48" s="632"/>
      <c r="V48" s="632"/>
      <c r="W48" s="632"/>
      <c r="X48" s="631"/>
      <c r="Y48" s="631"/>
      <c r="Z48" s="631"/>
      <c r="AA48" s="634"/>
      <c r="AB48" s="634"/>
      <c r="AC48" s="634"/>
      <c r="AD48" s="634"/>
      <c r="AE48" s="634"/>
      <c r="AF48" s="632"/>
      <c r="AG48" s="634"/>
      <c r="AH48" s="634"/>
      <c r="AI48" s="632"/>
      <c r="AJ48" s="632"/>
      <c r="AK48" s="631"/>
      <c r="AL48" s="631"/>
      <c r="AM48" s="631"/>
      <c r="AN48" s="634"/>
      <c r="AO48" s="634"/>
      <c r="AP48" s="634"/>
      <c r="AQ48" s="634"/>
      <c r="AR48" s="632"/>
      <c r="AS48" s="632"/>
      <c r="AT48" s="632"/>
      <c r="AU48" s="632"/>
      <c r="AV48" s="631"/>
      <c r="AW48" s="631"/>
      <c r="AX48" s="631"/>
      <c r="AY48" s="634"/>
      <c r="AZ48" s="634"/>
      <c r="BA48" s="714"/>
      <c r="BB48" s="715"/>
      <c r="BC48" s="715"/>
      <c r="BD48" s="715"/>
      <c r="BE48" s="715"/>
      <c r="BF48" s="716"/>
      <c r="BG48" s="634"/>
      <c r="BH48" s="632"/>
      <c r="BI48" s="632"/>
      <c r="BJ48" s="632"/>
      <c r="BK48" s="631"/>
      <c r="BL48" s="631"/>
      <c r="BM48" s="631"/>
      <c r="BN48" s="634"/>
      <c r="BO48" s="634"/>
      <c r="BP48" s="634"/>
      <c r="BQ48" s="634"/>
      <c r="BR48" s="632"/>
      <c r="BS48" s="632"/>
      <c r="BT48" s="632"/>
      <c r="BU48" s="632"/>
      <c r="BV48" s="631"/>
      <c r="BW48" s="631"/>
      <c r="BX48" s="631"/>
      <c r="BY48" s="634"/>
      <c r="BZ48" s="634"/>
      <c r="CA48" s="634"/>
      <c r="CB48" s="634"/>
      <c r="CC48" s="632"/>
      <c r="CD48" s="632"/>
      <c r="CE48" s="632"/>
      <c r="CF48" s="632"/>
      <c r="CG48" s="631"/>
      <c r="CH48" s="631"/>
      <c r="CI48" s="631"/>
      <c r="CJ48" s="634"/>
      <c r="CK48" s="634"/>
      <c r="CL48" s="634"/>
      <c r="CM48" s="634"/>
      <c r="CN48" s="632"/>
      <c r="CO48" s="632"/>
      <c r="CP48" s="632"/>
      <c r="CQ48" s="632"/>
      <c r="CR48" s="631"/>
      <c r="CS48" s="631"/>
      <c r="CT48" s="631"/>
      <c r="CU48" s="634"/>
      <c r="CV48" s="634"/>
      <c r="CW48" s="634"/>
      <c r="CX48" s="634"/>
      <c r="CY48" s="632"/>
      <c r="CZ48" s="632"/>
      <c r="DA48" s="632"/>
      <c r="DB48" s="632"/>
      <c r="DC48" s="631"/>
      <c r="DD48" s="631"/>
      <c r="DE48" s="631"/>
      <c r="DF48" s="634"/>
      <c r="DG48" s="634"/>
      <c r="DH48" s="634"/>
      <c r="DI48" s="634"/>
      <c r="DJ48" s="632"/>
      <c r="DK48" s="632"/>
      <c r="DL48" s="632"/>
      <c r="DM48" s="632"/>
      <c r="DN48" s="631"/>
      <c r="DO48" s="631"/>
      <c r="DP48" s="631"/>
      <c r="DQ48" s="634"/>
      <c r="DR48" s="634"/>
      <c r="DS48" s="634"/>
      <c r="DT48" s="634"/>
      <c r="DU48" s="632"/>
      <c r="DV48" s="632"/>
      <c r="DW48" s="632"/>
      <c r="DX48" s="632"/>
      <c r="DY48" s="631"/>
      <c r="DZ48" s="631"/>
      <c r="EA48" s="631"/>
      <c r="EB48" s="634"/>
      <c r="EC48" s="634"/>
      <c r="ED48" s="634"/>
      <c r="EE48" s="634"/>
      <c r="EF48" s="632"/>
      <c r="EG48" s="632"/>
      <c r="EH48" s="632"/>
      <c r="EI48" s="632"/>
      <c r="EJ48" s="631"/>
      <c r="EK48" s="631"/>
      <c r="EL48" s="631"/>
      <c r="EM48" s="634"/>
      <c r="EN48" s="634"/>
      <c r="EO48" s="634"/>
      <c r="EP48" s="634"/>
      <c r="EQ48" s="632"/>
      <c r="ER48" s="632"/>
      <c r="ES48" s="632"/>
      <c r="ET48" s="632"/>
      <c r="EU48" s="631"/>
      <c r="EV48" s="631"/>
      <c r="EW48" s="631"/>
      <c r="EX48" s="634"/>
      <c r="EY48" s="634"/>
      <c r="EZ48" s="634"/>
      <c r="FA48" s="634"/>
      <c r="FB48" s="632"/>
      <c r="FC48" s="632"/>
      <c r="FD48" s="632"/>
      <c r="FE48" s="632"/>
      <c r="FF48" s="631"/>
      <c r="FG48" s="631"/>
      <c r="FH48" s="631"/>
      <c r="FI48" s="634"/>
      <c r="FJ48" s="634"/>
      <c r="FK48" s="634"/>
      <c r="FL48" s="634"/>
      <c r="FM48" s="632"/>
      <c r="FN48" s="632"/>
      <c r="FO48" s="632"/>
      <c r="FP48" s="632"/>
      <c r="FQ48" s="635">
        <f t="shared" si="10"/>
        <v>0</v>
      </c>
      <c r="FR48" s="635">
        <f t="shared" si="0"/>
        <v>0</v>
      </c>
      <c r="FS48" s="635">
        <f t="shared" si="11"/>
        <v>0</v>
      </c>
      <c r="FT48" s="635">
        <f t="shared" si="7"/>
        <v>0</v>
      </c>
      <c r="FU48" s="635">
        <f t="shared" si="8"/>
        <v>0</v>
      </c>
      <c r="FV48" s="635">
        <f t="shared" si="9"/>
        <v>0</v>
      </c>
      <c r="FW48" s="635">
        <f t="shared" si="5"/>
        <v>0</v>
      </c>
    </row>
    <row r="49" spans="1:179" s="712" customFormat="1" ht="16.5" customHeight="1">
      <c r="A49" s="475">
        <v>28</v>
      </c>
      <c r="B49" s="11"/>
      <c r="C49" s="11"/>
      <c r="D49" s="475"/>
      <c r="E49" s="476"/>
      <c r="F49" s="476"/>
      <c r="G49" s="476"/>
      <c r="H49" s="476"/>
      <c r="I49" s="476"/>
      <c r="J49" s="476"/>
      <c r="K49" s="476"/>
      <c r="L49" s="477"/>
      <c r="M49" s="11"/>
      <c r="N49" s="11"/>
      <c r="O49" s="11"/>
      <c r="P49" s="478"/>
      <c r="Q49" s="478"/>
      <c r="R49" s="478"/>
      <c r="S49" s="478"/>
      <c r="T49" s="476"/>
      <c r="U49" s="476"/>
      <c r="V49" s="476"/>
      <c r="W49" s="476"/>
      <c r="X49" s="11"/>
      <c r="Y49" s="11"/>
      <c r="Z49" s="11"/>
      <c r="AA49" s="478"/>
      <c r="AB49" s="478"/>
      <c r="AC49" s="478"/>
      <c r="AD49" s="478"/>
      <c r="AE49" s="478"/>
      <c r="AF49" s="476"/>
      <c r="AG49" s="478"/>
      <c r="AH49" s="476"/>
      <c r="AI49" s="476"/>
      <c r="AJ49" s="476"/>
      <c r="AK49" s="11"/>
      <c r="AL49" s="11"/>
      <c r="AM49" s="11"/>
      <c r="AN49" s="478"/>
      <c r="AO49" s="478"/>
      <c r="AP49" s="476"/>
      <c r="AQ49" s="476"/>
      <c r="AR49" s="476"/>
      <c r="AS49" s="476"/>
      <c r="AT49" s="476"/>
      <c r="AU49" s="476"/>
      <c r="AV49" s="11"/>
      <c r="AW49" s="11"/>
      <c r="AX49" s="11"/>
      <c r="AY49" s="805"/>
      <c r="AZ49" s="805"/>
      <c r="BA49" s="806"/>
      <c r="BB49" s="807"/>
      <c r="BC49" s="807"/>
      <c r="BD49" s="807"/>
      <c r="BE49" s="807"/>
      <c r="BF49" s="491"/>
      <c r="BG49" s="476"/>
      <c r="BH49" s="476"/>
      <c r="BI49" s="476"/>
      <c r="BJ49" s="476"/>
      <c r="BK49" s="11"/>
      <c r="BL49" s="11"/>
      <c r="BM49" s="11"/>
      <c r="BN49" s="478"/>
      <c r="BO49" s="478"/>
      <c r="BP49" s="476"/>
      <c r="BQ49" s="476"/>
      <c r="BR49" s="476"/>
      <c r="BS49" s="476"/>
      <c r="BT49" s="476"/>
      <c r="BU49" s="476"/>
      <c r="BV49" s="11"/>
      <c r="BW49" s="11"/>
      <c r="BX49" s="11"/>
      <c r="BY49" s="478"/>
      <c r="BZ49" s="478"/>
      <c r="CA49" s="476"/>
      <c r="CB49" s="476"/>
      <c r="CC49" s="476"/>
      <c r="CD49" s="476"/>
      <c r="CE49" s="476"/>
      <c r="CF49" s="476"/>
      <c r="CG49" s="11"/>
      <c r="CH49" s="11"/>
      <c r="CI49" s="11"/>
      <c r="CJ49" s="478"/>
      <c r="CK49" s="478"/>
      <c r="CL49" s="476"/>
      <c r="CM49" s="476"/>
      <c r="CN49" s="476"/>
      <c r="CO49" s="476"/>
      <c r="CP49" s="476"/>
      <c r="CQ49" s="476"/>
      <c r="CR49" s="11"/>
      <c r="CS49" s="11"/>
      <c r="CT49" s="11"/>
      <c r="CU49" s="478"/>
      <c r="CV49" s="478"/>
      <c r="CW49" s="476"/>
      <c r="CX49" s="476"/>
      <c r="CY49" s="476"/>
      <c r="CZ49" s="476"/>
      <c r="DA49" s="476"/>
      <c r="DB49" s="476"/>
      <c r="DC49" s="11"/>
      <c r="DD49" s="11"/>
      <c r="DE49" s="11"/>
      <c r="DF49" s="478"/>
      <c r="DG49" s="478"/>
      <c r="DH49" s="476"/>
      <c r="DI49" s="476"/>
      <c r="DJ49" s="476"/>
      <c r="DK49" s="476"/>
      <c r="DL49" s="476"/>
      <c r="DM49" s="476"/>
      <c r="DN49" s="11"/>
      <c r="DO49" s="11"/>
      <c r="DP49" s="11"/>
      <c r="DQ49" s="478"/>
      <c r="DR49" s="478"/>
      <c r="DS49" s="476"/>
      <c r="DT49" s="476"/>
      <c r="DU49" s="476"/>
      <c r="DV49" s="476"/>
      <c r="DW49" s="476"/>
      <c r="DX49" s="476"/>
      <c r="DY49" s="11"/>
      <c r="DZ49" s="11"/>
      <c r="EA49" s="11"/>
      <c r="EB49" s="478"/>
      <c r="EC49" s="478"/>
      <c r="ED49" s="476"/>
      <c r="EE49" s="476"/>
      <c r="EF49" s="476"/>
      <c r="EG49" s="476"/>
      <c r="EH49" s="476"/>
      <c r="EI49" s="476"/>
      <c r="EJ49" s="11"/>
      <c r="EK49" s="11"/>
      <c r="EL49" s="11"/>
      <c r="EM49" s="478"/>
      <c r="EN49" s="478"/>
      <c r="EO49" s="476"/>
      <c r="EP49" s="476"/>
      <c r="EQ49" s="476"/>
      <c r="ER49" s="476"/>
      <c r="ES49" s="476"/>
      <c r="ET49" s="476"/>
      <c r="EU49" s="11"/>
      <c r="EV49" s="11"/>
      <c r="EW49" s="11"/>
      <c r="EX49" s="478"/>
      <c r="EY49" s="478"/>
      <c r="EZ49" s="476"/>
      <c r="FA49" s="476"/>
      <c r="FB49" s="476"/>
      <c r="FC49" s="476"/>
      <c r="FD49" s="476"/>
      <c r="FE49" s="476"/>
      <c r="FF49" s="11"/>
      <c r="FG49" s="11"/>
      <c r="FH49" s="11"/>
      <c r="FI49" s="478"/>
      <c r="FJ49" s="478"/>
      <c r="FK49" s="476"/>
      <c r="FL49" s="476"/>
      <c r="FM49" s="476"/>
      <c r="FN49" s="476"/>
      <c r="FO49" s="476"/>
      <c r="FP49" s="476"/>
      <c r="FQ49" s="488">
        <f t="shared" si="10"/>
        <v>0</v>
      </c>
      <c r="FR49" s="488">
        <f t="shared" si="0"/>
        <v>0</v>
      </c>
      <c r="FS49" s="488">
        <f t="shared" si="11"/>
        <v>0</v>
      </c>
      <c r="FT49" s="488">
        <f t="shared" si="7"/>
        <v>0</v>
      </c>
      <c r="FU49" s="488">
        <f t="shared" si="8"/>
        <v>0</v>
      </c>
      <c r="FV49" s="488">
        <f t="shared" si="9"/>
        <v>0</v>
      </c>
      <c r="FW49" s="488">
        <f t="shared" si="5"/>
        <v>0</v>
      </c>
    </row>
    <row r="50" spans="1:179" s="636" customFormat="1" ht="16.5" customHeight="1">
      <c r="A50" s="630">
        <v>29</v>
      </c>
      <c r="B50" s="713"/>
      <c r="C50" s="713"/>
      <c r="D50" s="630"/>
      <c r="E50" s="632"/>
      <c r="F50" s="632"/>
      <c r="G50" s="632"/>
      <c r="H50" s="632"/>
      <c r="I50" s="632"/>
      <c r="J50" s="632"/>
      <c r="K50" s="632"/>
      <c r="L50" s="633"/>
      <c r="M50" s="631"/>
      <c r="N50" s="631"/>
      <c r="O50" s="631"/>
      <c r="P50" s="634"/>
      <c r="Q50" s="634"/>
      <c r="R50" s="632"/>
      <c r="S50" s="632"/>
      <c r="T50" s="632"/>
      <c r="U50" s="632"/>
      <c r="V50" s="632"/>
      <c r="W50" s="632"/>
      <c r="X50" s="631"/>
      <c r="Y50" s="631"/>
      <c r="Z50" s="631"/>
      <c r="AA50" s="634"/>
      <c r="AB50" s="634"/>
      <c r="AC50" s="634"/>
      <c r="AD50" s="634"/>
      <c r="AE50" s="634"/>
      <c r="AF50" s="634"/>
      <c r="AG50" s="632"/>
      <c r="AH50" s="632"/>
      <c r="AI50" s="632"/>
      <c r="AJ50" s="632"/>
      <c r="AK50" s="631"/>
      <c r="AL50" s="631"/>
      <c r="AM50" s="631"/>
      <c r="AN50" s="634"/>
      <c r="AO50" s="634"/>
      <c r="AP50" s="634"/>
      <c r="AQ50" s="632"/>
      <c r="AR50" s="632"/>
      <c r="AS50" s="632"/>
      <c r="AT50" s="632"/>
      <c r="AU50" s="632"/>
      <c r="AV50" s="631"/>
      <c r="AW50" s="631"/>
      <c r="AX50" s="631"/>
      <c r="AY50" s="634"/>
      <c r="AZ50" s="634"/>
      <c r="BA50" s="714"/>
      <c r="BB50" s="715"/>
      <c r="BC50" s="715"/>
      <c r="BD50" s="715"/>
      <c r="BE50" s="715"/>
      <c r="BF50" s="716"/>
      <c r="BG50" s="632"/>
      <c r="BH50" s="632"/>
      <c r="BI50" s="632"/>
      <c r="BJ50" s="632"/>
      <c r="BK50" s="631"/>
      <c r="BL50" s="631"/>
      <c r="BM50" s="631"/>
      <c r="BN50" s="634"/>
      <c r="BO50" s="634"/>
      <c r="BP50" s="634"/>
      <c r="BQ50" s="632"/>
      <c r="BR50" s="632"/>
      <c r="BS50" s="632"/>
      <c r="BT50" s="632"/>
      <c r="BU50" s="632"/>
      <c r="BV50" s="631"/>
      <c r="BW50" s="631"/>
      <c r="BX50" s="631"/>
      <c r="BY50" s="634"/>
      <c r="BZ50" s="634"/>
      <c r="CA50" s="634"/>
      <c r="CB50" s="632"/>
      <c r="CC50" s="632"/>
      <c r="CD50" s="632"/>
      <c r="CE50" s="632"/>
      <c r="CF50" s="632"/>
      <c r="CG50" s="631"/>
      <c r="CH50" s="631"/>
      <c r="CI50" s="631"/>
      <c r="CJ50" s="634"/>
      <c r="CK50" s="634"/>
      <c r="CL50" s="634"/>
      <c r="CM50" s="632"/>
      <c r="CN50" s="632"/>
      <c r="CO50" s="632"/>
      <c r="CP50" s="632"/>
      <c r="CQ50" s="632"/>
      <c r="CR50" s="631"/>
      <c r="CS50" s="631"/>
      <c r="CT50" s="631"/>
      <c r="CU50" s="634"/>
      <c r="CV50" s="634"/>
      <c r="CW50" s="634"/>
      <c r="CX50" s="632"/>
      <c r="CY50" s="632"/>
      <c r="CZ50" s="632"/>
      <c r="DA50" s="632"/>
      <c r="DB50" s="632"/>
      <c r="DC50" s="631"/>
      <c r="DD50" s="631"/>
      <c r="DE50" s="631"/>
      <c r="DF50" s="634"/>
      <c r="DG50" s="634"/>
      <c r="DH50" s="634"/>
      <c r="DI50" s="632"/>
      <c r="DJ50" s="632"/>
      <c r="DK50" s="632"/>
      <c r="DL50" s="632"/>
      <c r="DM50" s="632"/>
      <c r="DN50" s="631"/>
      <c r="DO50" s="631"/>
      <c r="DP50" s="631"/>
      <c r="DQ50" s="634"/>
      <c r="DR50" s="634"/>
      <c r="DS50" s="634"/>
      <c r="DT50" s="632"/>
      <c r="DU50" s="632"/>
      <c r="DV50" s="632"/>
      <c r="DW50" s="632"/>
      <c r="DX50" s="632"/>
      <c r="DY50" s="631"/>
      <c r="DZ50" s="631"/>
      <c r="EA50" s="631"/>
      <c r="EB50" s="634"/>
      <c r="EC50" s="634"/>
      <c r="ED50" s="634"/>
      <c r="EE50" s="632"/>
      <c r="EF50" s="632"/>
      <c r="EG50" s="632"/>
      <c r="EH50" s="632"/>
      <c r="EI50" s="632"/>
      <c r="EJ50" s="631"/>
      <c r="EK50" s="631"/>
      <c r="EL50" s="631"/>
      <c r="EM50" s="634"/>
      <c r="EN50" s="634"/>
      <c r="EO50" s="634"/>
      <c r="EP50" s="632"/>
      <c r="EQ50" s="632"/>
      <c r="ER50" s="632"/>
      <c r="ES50" s="632"/>
      <c r="ET50" s="632"/>
      <c r="EU50" s="631"/>
      <c r="EV50" s="631"/>
      <c r="EW50" s="631"/>
      <c r="EX50" s="634"/>
      <c r="EY50" s="634"/>
      <c r="EZ50" s="634"/>
      <c r="FA50" s="632"/>
      <c r="FB50" s="632"/>
      <c r="FC50" s="632"/>
      <c r="FD50" s="632"/>
      <c r="FE50" s="632"/>
      <c r="FF50" s="631"/>
      <c r="FG50" s="631"/>
      <c r="FH50" s="631"/>
      <c r="FI50" s="634"/>
      <c r="FJ50" s="634"/>
      <c r="FK50" s="634"/>
      <c r="FL50" s="632"/>
      <c r="FM50" s="632"/>
      <c r="FN50" s="632"/>
      <c r="FO50" s="632"/>
      <c r="FP50" s="632"/>
      <c r="FQ50" s="635">
        <f t="shared" si="10"/>
        <v>0</v>
      </c>
      <c r="FR50" s="635">
        <f t="shared" si="0"/>
        <v>0</v>
      </c>
      <c r="FS50" s="635">
        <f t="shared" si="11"/>
        <v>0</v>
      </c>
      <c r="FT50" s="635">
        <f t="shared" si="7"/>
        <v>0</v>
      </c>
      <c r="FU50" s="635">
        <f t="shared" si="8"/>
        <v>0</v>
      </c>
      <c r="FV50" s="635">
        <f t="shared" si="9"/>
        <v>0</v>
      </c>
      <c r="FW50" s="635">
        <f t="shared" si="5"/>
        <v>0</v>
      </c>
    </row>
    <row r="51" spans="1:179" s="636" customFormat="1" ht="16.5" customHeight="1">
      <c r="A51" s="630">
        <v>30</v>
      </c>
      <c r="B51" s="713"/>
      <c r="C51" s="713"/>
      <c r="D51" s="630"/>
      <c r="E51" s="632"/>
      <c r="F51" s="632"/>
      <c r="G51" s="632"/>
      <c r="H51" s="632"/>
      <c r="I51" s="632"/>
      <c r="J51" s="632"/>
      <c r="K51" s="632"/>
      <c r="L51" s="633"/>
      <c r="M51" s="631"/>
      <c r="N51" s="631"/>
      <c r="O51" s="631"/>
      <c r="P51" s="634"/>
      <c r="Q51" s="634"/>
      <c r="R51" s="634"/>
      <c r="S51" s="634"/>
      <c r="T51" s="632"/>
      <c r="U51" s="632"/>
      <c r="V51" s="632"/>
      <c r="W51" s="632"/>
      <c r="X51" s="631"/>
      <c r="Y51" s="631"/>
      <c r="Z51" s="631"/>
      <c r="AA51" s="634"/>
      <c r="AB51" s="634"/>
      <c r="AC51" s="634"/>
      <c r="AD51" s="634"/>
      <c r="AE51" s="634"/>
      <c r="AF51" s="634"/>
      <c r="AG51" s="632"/>
      <c r="AH51" s="632"/>
      <c r="AI51" s="632"/>
      <c r="AJ51" s="632"/>
      <c r="AK51" s="631"/>
      <c r="AL51" s="631"/>
      <c r="AM51" s="631"/>
      <c r="AN51" s="634"/>
      <c r="AO51" s="634"/>
      <c r="AP51" s="634"/>
      <c r="AQ51" s="632"/>
      <c r="AR51" s="634"/>
      <c r="AS51" s="632"/>
      <c r="AT51" s="632"/>
      <c r="AU51" s="632"/>
      <c r="AV51" s="631"/>
      <c r="AW51" s="631"/>
      <c r="AX51" s="631"/>
      <c r="AY51" s="634"/>
      <c r="AZ51" s="634"/>
      <c r="BA51" s="826"/>
      <c r="BB51" s="827"/>
      <c r="BC51" s="827"/>
      <c r="BD51" s="827"/>
      <c r="BE51" s="827"/>
      <c r="BF51" s="696"/>
      <c r="BG51" s="632"/>
      <c r="BH51" s="632"/>
      <c r="BI51" s="632"/>
      <c r="BJ51" s="632"/>
      <c r="BK51" s="631"/>
      <c r="BL51" s="631"/>
      <c r="BM51" s="631"/>
      <c r="BN51" s="634"/>
      <c r="BO51" s="634"/>
      <c r="BP51" s="634"/>
      <c r="BQ51" s="632"/>
      <c r="BR51" s="634"/>
      <c r="BS51" s="632"/>
      <c r="BT51" s="634"/>
      <c r="BU51" s="632"/>
      <c r="BV51" s="631"/>
      <c r="BW51" s="631"/>
      <c r="BX51" s="631"/>
      <c r="BY51" s="634"/>
      <c r="BZ51" s="634"/>
      <c r="CA51" s="634"/>
      <c r="CB51" s="632"/>
      <c r="CC51" s="634"/>
      <c r="CD51" s="632"/>
      <c r="CE51" s="632"/>
      <c r="CF51" s="632"/>
      <c r="CG51" s="631"/>
      <c r="CH51" s="631"/>
      <c r="CI51" s="631"/>
      <c r="CJ51" s="634"/>
      <c r="CK51" s="634"/>
      <c r="CL51" s="634"/>
      <c r="CM51" s="632"/>
      <c r="CN51" s="634"/>
      <c r="CO51" s="632"/>
      <c r="CP51" s="632"/>
      <c r="CQ51" s="632"/>
      <c r="CR51" s="631"/>
      <c r="CS51" s="631"/>
      <c r="CT51" s="631"/>
      <c r="CU51" s="634"/>
      <c r="CV51" s="634"/>
      <c r="CW51" s="634"/>
      <c r="CX51" s="632"/>
      <c r="CY51" s="634"/>
      <c r="CZ51" s="632"/>
      <c r="DA51" s="634"/>
      <c r="DB51" s="632"/>
      <c r="DC51" s="631"/>
      <c r="DD51" s="631"/>
      <c r="DE51" s="631"/>
      <c r="DF51" s="634"/>
      <c r="DG51" s="634"/>
      <c r="DH51" s="632"/>
      <c r="DI51" s="632"/>
      <c r="DJ51" s="632"/>
      <c r="DK51" s="632"/>
      <c r="DL51" s="632"/>
      <c r="DM51" s="632"/>
      <c r="DN51" s="631"/>
      <c r="DO51" s="631"/>
      <c r="DP51" s="631"/>
      <c r="DQ51" s="634"/>
      <c r="DR51" s="634"/>
      <c r="DS51" s="632"/>
      <c r="DT51" s="632"/>
      <c r="DU51" s="632"/>
      <c r="DV51" s="632"/>
      <c r="DW51" s="632"/>
      <c r="DX51" s="632"/>
      <c r="DY51" s="631"/>
      <c r="DZ51" s="631"/>
      <c r="EA51" s="631"/>
      <c r="EB51" s="634"/>
      <c r="EC51" s="634"/>
      <c r="ED51" s="632"/>
      <c r="EE51" s="632"/>
      <c r="EF51" s="632"/>
      <c r="EG51" s="632"/>
      <c r="EH51" s="632"/>
      <c r="EI51" s="632"/>
      <c r="EJ51" s="631"/>
      <c r="EK51" s="631"/>
      <c r="EL51" s="631"/>
      <c r="EM51" s="634"/>
      <c r="EN51" s="634"/>
      <c r="EO51" s="632"/>
      <c r="EP51" s="632"/>
      <c r="EQ51" s="632"/>
      <c r="ER51" s="632"/>
      <c r="ES51" s="632"/>
      <c r="ET51" s="632"/>
      <c r="EU51" s="631"/>
      <c r="EV51" s="631"/>
      <c r="EW51" s="631"/>
      <c r="EX51" s="634"/>
      <c r="EY51" s="634"/>
      <c r="EZ51" s="632"/>
      <c r="FA51" s="632"/>
      <c r="FB51" s="632"/>
      <c r="FC51" s="632"/>
      <c r="FD51" s="632"/>
      <c r="FE51" s="632"/>
      <c r="FF51" s="631"/>
      <c r="FG51" s="631"/>
      <c r="FH51" s="631"/>
      <c r="FI51" s="634"/>
      <c r="FJ51" s="634"/>
      <c r="FK51" s="632"/>
      <c r="FL51" s="632"/>
      <c r="FM51" s="632"/>
      <c r="FN51" s="632"/>
      <c r="FO51" s="632"/>
      <c r="FP51" s="632"/>
      <c r="FQ51" s="635">
        <f t="shared" si="10"/>
        <v>0</v>
      </c>
      <c r="FR51" s="635">
        <f t="shared" si="0"/>
        <v>0</v>
      </c>
      <c r="FS51" s="635">
        <f t="shared" si="11"/>
        <v>0</v>
      </c>
      <c r="FT51" s="635">
        <f t="shared" si="7"/>
        <v>0</v>
      </c>
      <c r="FU51" s="635">
        <f t="shared" si="8"/>
        <v>0</v>
      </c>
      <c r="FV51" s="635">
        <f t="shared" si="9"/>
        <v>0</v>
      </c>
      <c r="FW51" s="635">
        <f t="shared" si="5"/>
        <v>0</v>
      </c>
    </row>
    <row r="52" spans="1:179" ht="17.100000000000001" customHeight="1">
      <c r="A52" s="474">
        <v>31</v>
      </c>
      <c r="B52" s="12"/>
      <c r="C52" s="12"/>
      <c r="D52" s="475"/>
      <c r="E52" s="476"/>
      <c r="F52" s="476"/>
      <c r="G52" s="476"/>
      <c r="H52" s="476"/>
      <c r="I52" s="476"/>
      <c r="J52" s="476"/>
      <c r="K52" s="476"/>
      <c r="L52" s="477"/>
      <c r="M52" s="11"/>
      <c r="N52" s="11"/>
      <c r="O52" s="492"/>
      <c r="P52" s="478"/>
      <c r="Q52" s="478"/>
      <c r="R52" s="478"/>
      <c r="S52" s="476"/>
      <c r="T52" s="478"/>
      <c r="U52" s="476"/>
      <c r="V52" s="476"/>
      <c r="W52" s="476"/>
      <c r="X52" s="11"/>
      <c r="Y52" s="11"/>
      <c r="Z52" s="11"/>
      <c r="AA52" s="478"/>
      <c r="AB52" s="478"/>
      <c r="AC52" s="478"/>
      <c r="AD52" s="478"/>
      <c r="AE52" s="478"/>
      <c r="AF52" s="476"/>
      <c r="AG52" s="476"/>
      <c r="AH52" s="476"/>
      <c r="AI52" s="476"/>
      <c r="AJ52" s="476"/>
      <c r="AK52" s="11"/>
      <c r="AL52" s="11"/>
      <c r="AM52" s="11"/>
      <c r="AN52" s="478"/>
      <c r="AO52" s="478"/>
      <c r="AP52" s="476"/>
      <c r="AQ52" s="476"/>
      <c r="AR52" s="476"/>
      <c r="AS52" s="476"/>
      <c r="AT52" s="476"/>
      <c r="AU52" s="476"/>
      <c r="AV52" s="11"/>
      <c r="AW52" s="11"/>
      <c r="AX52" s="11"/>
      <c r="AY52" s="478"/>
      <c r="AZ52" s="478"/>
      <c r="BA52" s="478"/>
      <c r="BB52" s="482"/>
      <c r="BC52" s="482"/>
      <c r="BD52" s="478"/>
      <c r="BE52" s="482"/>
      <c r="BF52" s="476"/>
      <c r="BG52" s="476"/>
      <c r="BH52" s="476"/>
      <c r="BI52" s="476"/>
      <c r="BJ52" s="476"/>
      <c r="BK52" s="11"/>
      <c r="BL52" s="11"/>
      <c r="BM52" s="11"/>
      <c r="BN52" s="478"/>
      <c r="BO52" s="478"/>
      <c r="BP52" s="476"/>
      <c r="BQ52" s="476"/>
      <c r="BR52" s="476"/>
      <c r="BS52" s="476"/>
      <c r="BT52" s="476"/>
      <c r="BU52" s="476"/>
      <c r="BV52" s="11"/>
      <c r="BW52" s="11"/>
      <c r="BX52" s="11"/>
      <c r="BY52" s="478"/>
      <c r="BZ52" s="478"/>
      <c r="CA52" s="478"/>
      <c r="CB52" s="476"/>
      <c r="CC52" s="476"/>
      <c r="CD52" s="476"/>
      <c r="CE52" s="478"/>
      <c r="CF52" s="476"/>
      <c r="CG52" s="11"/>
      <c r="CH52" s="11"/>
      <c r="CI52" s="11"/>
      <c r="CJ52" s="478"/>
      <c r="CK52" s="478"/>
      <c r="CL52" s="476"/>
      <c r="CM52" s="476"/>
      <c r="CN52" s="476"/>
      <c r="CO52" s="476"/>
      <c r="CP52" s="476"/>
      <c r="CQ52" s="476"/>
      <c r="CR52" s="11"/>
      <c r="CS52" s="11"/>
      <c r="CT52" s="11"/>
      <c r="CU52" s="478"/>
      <c r="CV52" s="478"/>
      <c r="CW52" s="476"/>
      <c r="CX52" s="476"/>
      <c r="CY52" s="476"/>
      <c r="CZ52" s="476"/>
      <c r="DA52" s="476"/>
      <c r="DB52" s="476"/>
      <c r="DC52" s="11"/>
      <c r="DD52" s="11"/>
      <c r="DE52" s="11"/>
      <c r="DF52" s="478"/>
      <c r="DG52" s="478"/>
      <c r="DH52" s="476"/>
      <c r="DI52" s="476"/>
      <c r="DJ52" s="476"/>
      <c r="DK52" s="476"/>
      <c r="DL52" s="476"/>
      <c r="DM52" s="476"/>
      <c r="DN52" s="11"/>
      <c r="DO52" s="11"/>
      <c r="DP52" s="11"/>
      <c r="DQ52" s="478"/>
      <c r="DR52" s="478"/>
      <c r="DS52" s="476"/>
      <c r="DT52" s="476"/>
      <c r="DU52" s="476"/>
      <c r="DV52" s="476"/>
      <c r="DW52" s="476"/>
      <c r="DX52" s="476"/>
      <c r="DY52" s="11"/>
      <c r="DZ52" s="11"/>
      <c r="EA52" s="11"/>
      <c r="EB52" s="478"/>
      <c r="EC52" s="478"/>
      <c r="ED52" s="476"/>
      <c r="EE52" s="476"/>
      <c r="EF52" s="476"/>
      <c r="EG52" s="476"/>
      <c r="EH52" s="476"/>
      <c r="EI52" s="476"/>
      <c r="EJ52" s="11"/>
      <c r="EK52" s="11"/>
      <c r="EL52" s="11"/>
      <c r="EM52" s="478"/>
      <c r="EN52" s="478"/>
      <c r="EO52" s="476"/>
      <c r="EP52" s="476"/>
      <c r="EQ52" s="476"/>
      <c r="ER52" s="476"/>
      <c r="ES52" s="476"/>
      <c r="ET52" s="476"/>
      <c r="EU52" s="11"/>
      <c r="EV52" s="11"/>
      <c r="EW52" s="11"/>
      <c r="EX52" s="478"/>
      <c r="EY52" s="478"/>
      <c r="EZ52" s="476"/>
      <c r="FA52" s="476"/>
      <c r="FB52" s="476"/>
      <c r="FC52" s="476"/>
      <c r="FD52" s="476"/>
      <c r="FE52" s="476"/>
      <c r="FF52" s="11"/>
      <c r="FG52" s="11"/>
      <c r="FH52" s="11"/>
      <c r="FI52" s="478"/>
      <c r="FJ52" s="478"/>
      <c r="FK52" s="476"/>
      <c r="FL52" s="476"/>
      <c r="FM52" s="476"/>
      <c r="FN52" s="476"/>
      <c r="FO52" s="476"/>
      <c r="FP52" s="476"/>
      <c r="FQ52" s="485">
        <f t="shared" si="10"/>
        <v>0</v>
      </c>
      <c r="FR52" s="485">
        <f t="shared" si="0"/>
        <v>0</v>
      </c>
      <c r="FS52" s="485">
        <f t="shared" si="11"/>
        <v>0</v>
      </c>
      <c r="FT52" s="489">
        <f>SUM(FI52+EM52+EB52+DQ52+DF52+CU52+CJ52+BY52+BN52+AY52+AN52+AA52+P52+E52)</f>
        <v>0</v>
      </c>
      <c r="FU52" s="485">
        <f t="shared" si="8"/>
        <v>0</v>
      </c>
      <c r="FV52" s="485">
        <f t="shared" si="9"/>
        <v>0</v>
      </c>
      <c r="FW52" s="485">
        <f t="shared" si="5"/>
        <v>0</v>
      </c>
    </row>
    <row r="53" spans="1:179" ht="17.100000000000001" customHeight="1">
      <c r="A53" s="474"/>
      <c r="B53" s="12"/>
      <c r="C53" s="12"/>
      <c r="D53" s="493"/>
      <c r="E53" s="476"/>
      <c r="F53" s="476"/>
      <c r="G53" s="476"/>
      <c r="H53" s="476"/>
      <c r="I53" s="476"/>
      <c r="J53" s="476"/>
      <c r="K53" s="476"/>
      <c r="L53" s="477"/>
      <c r="M53" s="11"/>
      <c r="N53" s="11"/>
      <c r="O53" s="492"/>
      <c r="P53" s="478"/>
      <c r="Q53" s="478"/>
      <c r="R53" s="478"/>
      <c r="S53" s="476"/>
      <c r="T53" s="478"/>
      <c r="U53" s="476"/>
      <c r="V53" s="476"/>
      <c r="W53" s="476"/>
      <c r="X53" s="11"/>
      <c r="Y53" s="11"/>
      <c r="Z53" s="11"/>
      <c r="AA53" s="478"/>
      <c r="AB53" s="478"/>
      <c r="AC53" s="478"/>
      <c r="AD53" s="478"/>
      <c r="AE53" s="478"/>
      <c r="AF53" s="476"/>
      <c r="AG53" s="476"/>
      <c r="AH53" s="476"/>
      <c r="AI53" s="476"/>
      <c r="AJ53" s="476"/>
      <c r="AK53" s="11"/>
      <c r="AL53" s="11"/>
      <c r="AM53" s="11"/>
      <c r="AN53" s="478"/>
      <c r="AO53" s="478"/>
      <c r="AP53" s="476"/>
      <c r="AQ53" s="476"/>
      <c r="AR53" s="476"/>
      <c r="AS53" s="476"/>
      <c r="AT53" s="476"/>
      <c r="AU53" s="476"/>
      <c r="AV53" s="11"/>
      <c r="AW53" s="11"/>
      <c r="AX53" s="11"/>
      <c r="AY53" s="478"/>
      <c r="AZ53" s="478"/>
      <c r="BA53" s="476"/>
      <c r="BB53" s="476"/>
      <c r="BC53" s="476"/>
      <c r="BD53" s="476"/>
      <c r="BE53" s="476"/>
      <c r="BF53" s="476"/>
      <c r="BG53" s="476"/>
      <c r="BH53" s="476"/>
      <c r="BI53" s="476"/>
      <c r="BJ53" s="476"/>
      <c r="BK53" s="11"/>
      <c r="BL53" s="11"/>
      <c r="BM53" s="11"/>
      <c r="BN53" s="478"/>
      <c r="BO53" s="478"/>
      <c r="BP53" s="476"/>
      <c r="BQ53" s="476"/>
      <c r="BR53" s="476"/>
      <c r="BS53" s="476"/>
      <c r="BT53" s="476"/>
      <c r="BU53" s="476"/>
      <c r="BV53" s="11"/>
      <c r="BW53" s="11"/>
      <c r="BX53" s="11"/>
      <c r="BY53" s="478"/>
      <c r="BZ53" s="478"/>
      <c r="CA53" s="476"/>
      <c r="CB53" s="476"/>
      <c r="CC53" s="476"/>
      <c r="CD53" s="476"/>
      <c r="CE53" s="476"/>
      <c r="CF53" s="476"/>
      <c r="CG53" s="11"/>
      <c r="CH53" s="11"/>
      <c r="CI53" s="11"/>
      <c r="CJ53" s="478"/>
      <c r="CK53" s="478"/>
      <c r="CL53" s="476"/>
      <c r="CM53" s="476"/>
      <c r="CN53" s="476"/>
      <c r="CO53" s="476"/>
      <c r="CP53" s="476"/>
      <c r="CQ53" s="476"/>
      <c r="CR53" s="11"/>
      <c r="CS53" s="11"/>
      <c r="CT53" s="11"/>
      <c r="CU53" s="478"/>
      <c r="CV53" s="478"/>
      <c r="CW53" s="476"/>
      <c r="CX53" s="476"/>
      <c r="CY53" s="476"/>
      <c r="CZ53" s="476"/>
      <c r="DA53" s="476"/>
      <c r="DB53" s="476"/>
      <c r="DC53" s="11"/>
      <c r="DD53" s="11"/>
      <c r="DE53" s="11"/>
      <c r="DF53" s="478"/>
      <c r="DG53" s="478"/>
      <c r="DH53" s="476"/>
      <c r="DI53" s="476"/>
      <c r="DJ53" s="476"/>
      <c r="DK53" s="476"/>
      <c r="DL53" s="476"/>
      <c r="DM53" s="476"/>
      <c r="DN53" s="11"/>
      <c r="DO53" s="11"/>
      <c r="DP53" s="11"/>
      <c r="DQ53" s="478"/>
      <c r="DR53" s="478"/>
      <c r="DS53" s="476"/>
      <c r="DT53" s="476"/>
      <c r="DU53" s="476"/>
      <c r="DV53" s="476"/>
      <c r="DW53" s="476"/>
      <c r="DX53" s="476"/>
      <c r="DY53" s="11"/>
      <c r="DZ53" s="11"/>
      <c r="EA53" s="11"/>
      <c r="EB53" s="478"/>
      <c r="EC53" s="478"/>
      <c r="ED53" s="476"/>
      <c r="EE53" s="476"/>
      <c r="EF53" s="476"/>
      <c r="EG53" s="476"/>
      <c r="EH53" s="476"/>
      <c r="EI53" s="476"/>
      <c r="EJ53" s="11"/>
      <c r="EK53" s="11"/>
      <c r="EL53" s="11"/>
      <c r="EM53" s="478"/>
      <c r="EN53" s="478"/>
      <c r="EO53" s="476"/>
      <c r="EP53" s="476"/>
      <c r="EQ53" s="476"/>
      <c r="ER53" s="476"/>
      <c r="ES53" s="476"/>
      <c r="ET53" s="476"/>
      <c r="EU53" s="11"/>
      <c r="EV53" s="11"/>
      <c r="EW53" s="11"/>
      <c r="EX53" s="478"/>
      <c r="EY53" s="478"/>
      <c r="EZ53" s="476"/>
      <c r="FA53" s="476"/>
      <c r="FB53" s="476"/>
      <c r="FC53" s="476"/>
      <c r="FD53" s="476"/>
      <c r="FE53" s="476"/>
      <c r="FF53" s="11"/>
      <c r="FG53" s="11"/>
      <c r="FH53" s="11"/>
      <c r="FI53" s="478"/>
      <c r="FJ53" s="478"/>
      <c r="FK53" s="476"/>
      <c r="FL53" s="476"/>
      <c r="FM53" s="476"/>
      <c r="FN53" s="476"/>
      <c r="FO53" s="476"/>
      <c r="FP53" s="476"/>
      <c r="FQ53" s="485">
        <f>SUM(DY53+DN53+DC53+CR53+CG53+BV53+BK53+AV53+AK53+X53+M53+B53)</f>
        <v>0</v>
      </c>
      <c r="FR53" s="485">
        <f t="shared" si="0"/>
        <v>0</v>
      </c>
      <c r="FS53" s="485">
        <f>SUM(EA53+DP53+DE53+CT53+CI53+BX53+BM53+AX53+AM53+Z53+O53+D53)</f>
        <v>0</v>
      </c>
      <c r="FT53" s="485">
        <f>SUM(EB53+DQ53+DF53+CU53+CJ53+BY53+BN53+AY53+AN53+AA53+P53+E53)</f>
        <v>0</v>
      </c>
      <c r="FU53" s="485">
        <f>SUM(EC53+DR53+DG53+CV53+CK53+BZ53+BO53+AZ53+AO53+AB53+Q53+F53)</f>
        <v>0</v>
      </c>
      <c r="FV53" s="485">
        <f>SUM(ED53+DS53+DH53+CW53+CL53+CA53+BP53+BA53+AP53+AC53+R53+G53)</f>
        <v>0</v>
      </c>
      <c r="FW53" s="485">
        <f t="shared" si="5"/>
        <v>0</v>
      </c>
    </row>
    <row r="54" spans="1:179" s="400" customFormat="1" ht="21" customHeight="1">
      <c r="A54" s="494" t="s">
        <v>20</v>
      </c>
      <c r="B54" s="495">
        <f>SUM(B22:B52)</f>
        <v>0</v>
      </c>
      <c r="C54" s="495">
        <f>SUM(C22:C52)</f>
        <v>0</v>
      </c>
      <c r="D54" s="496">
        <f>SUM(D22:D52)</f>
        <v>0</v>
      </c>
      <c r="E54" s="497">
        <f>SUM(E22:E52)</f>
        <v>0</v>
      </c>
      <c r="F54" s="497">
        <f>SUM(F22:F52)</f>
        <v>0</v>
      </c>
      <c r="G54" s="497">
        <f t="shared" ref="G54:L54" si="13">SUM(G22:G53)</f>
        <v>0</v>
      </c>
      <c r="H54" s="497">
        <f t="shared" si="13"/>
        <v>0</v>
      </c>
      <c r="I54" s="497">
        <f t="shared" si="13"/>
        <v>0</v>
      </c>
      <c r="J54" s="497">
        <f t="shared" si="13"/>
        <v>0</v>
      </c>
      <c r="K54" s="498">
        <f t="shared" si="13"/>
        <v>0</v>
      </c>
      <c r="L54" s="498">
        <f t="shared" si="13"/>
        <v>0</v>
      </c>
      <c r="M54" s="497">
        <f>SUM(M22:M52)</f>
        <v>21</v>
      </c>
      <c r="N54" s="495">
        <f>SUM(N22:N52)</f>
        <v>16</v>
      </c>
      <c r="O54" s="497">
        <f>SUM(O22:O52)+'IN AND OUT'!P10</f>
        <v>5</v>
      </c>
      <c r="P54" s="497">
        <f t="shared" ref="P54:X54" si="14">SUM(P22:P53)</f>
        <v>744300000</v>
      </c>
      <c r="Q54" s="497">
        <f t="shared" si="14"/>
        <v>744300000</v>
      </c>
      <c r="R54" s="497">
        <f t="shared" si="14"/>
        <v>670540540.54054034</v>
      </c>
      <c r="S54" s="497">
        <f t="shared" si="14"/>
        <v>0</v>
      </c>
      <c r="T54" s="497">
        <f>SUM(T22:T53)</f>
        <v>670540540.54054034</v>
      </c>
      <c r="U54" s="497">
        <f t="shared" si="14"/>
        <v>0</v>
      </c>
      <c r="V54" s="498">
        <f>SUM(V22:V53)</f>
        <v>0</v>
      </c>
      <c r="W54" s="498">
        <f t="shared" si="14"/>
        <v>0</v>
      </c>
      <c r="X54" s="497">
        <f t="shared" si="14"/>
        <v>24</v>
      </c>
      <c r="Y54" s="495">
        <f>SUM(Y22:Y52)</f>
        <v>20</v>
      </c>
      <c r="Z54" s="497">
        <f>SUM(Z22:Z52)</f>
        <v>6</v>
      </c>
      <c r="AA54" s="497">
        <f t="shared" ref="AA54:AJ54" si="15">SUM(AA22:AA53)</f>
        <v>612900000</v>
      </c>
      <c r="AB54" s="497">
        <f t="shared" si="15"/>
        <v>612900000</v>
      </c>
      <c r="AC54" s="497">
        <f t="shared" si="15"/>
        <v>552162162.16216207</v>
      </c>
      <c r="AD54" s="497">
        <f t="shared" si="15"/>
        <v>0</v>
      </c>
      <c r="AE54" s="497">
        <f t="shared" si="15"/>
        <v>0</v>
      </c>
      <c r="AF54" s="497">
        <f t="shared" si="15"/>
        <v>0</v>
      </c>
      <c r="AG54" s="497">
        <f t="shared" si="15"/>
        <v>552162162.16216207</v>
      </c>
      <c r="AH54" s="497">
        <f t="shared" si="15"/>
        <v>0</v>
      </c>
      <c r="AI54" s="498">
        <f t="shared" si="15"/>
        <v>0</v>
      </c>
      <c r="AJ54" s="497">
        <f t="shared" si="15"/>
        <v>0</v>
      </c>
      <c r="AK54" s="497">
        <f t="shared" ref="AK54:BJ54" si="16">SUM(AK22:AK52)</f>
        <v>14</v>
      </c>
      <c r="AL54" s="495">
        <f>SUM(AL22:AL52)</f>
        <v>9</v>
      </c>
      <c r="AM54" s="497">
        <f>SUM(AM22:AM52)</f>
        <v>5</v>
      </c>
      <c r="AN54" s="497">
        <f t="shared" si="16"/>
        <v>1909200000</v>
      </c>
      <c r="AO54" s="497">
        <f t="shared" si="16"/>
        <v>1743590000</v>
      </c>
      <c r="AP54" s="497">
        <f t="shared" si="16"/>
        <v>1570801801.8018017</v>
      </c>
      <c r="AQ54" s="497">
        <f t="shared" si="16"/>
        <v>0</v>
      </c>
      <c r="AR54" s="497">
        <f t="shared" si="16"/>
        <v>228018018.01801801</v>
      </c>
      <c r="AS54" s="497">
        <f t="shared" si="16"/>
        <v>0</v>
      </c>
      <c r="AT54" s="498">
        <f t="shared" si="16"/>
        <v>1342783783.7837837</v>
      </c>
      <c r="AU54" s="498">
        <f t="shared" si="16"/>
        <v>0</v>
      </c>
      <c r="AV54" s="497">
        <f t="shared" si="16"/>
        <v>21</v>
      </c>
      <c r="AW54" s="495">
        <f>SUM(AW22:AW52)</f>
        <v>15</v>
      </c>
      <c r="AX54" s="497">
        <f>SUM(AX22:AX52)</f>
        <v>13</v>
      </c>
      <c r="AY54" s="497">
        <f t="shared" si="16"/>
        <v>1844500000</v>
      </c>
      <c r="AZ54" s="497">
        <f t="shared" si="16"/>
        <v>1844500000</v>
      </c>
      <c r="BA54" s="497">
        <f t="shared" si="16"/>
        <v>1661711711.7117114</v>
      </c>
      <c r="BB54" s="497">
        <f t="shared" si="16"/>
        <v>0</v>
      </c>
      <c r="BC54" s="497">
        <f>SUM(BC22:BC53)</f>
        <v>137207207.2072072</v>
      </c>
      <c r="BD54" s="497">
        <f>SUM(BD22:BD53)</f>
        <v>0</v>
      </c>
      <c r="BE54" s="497">
        <f t="shared" si="16"/>
        <v>0</v>
      </c>
      <c r="BF54" s="497">
        <f>SUM(BF22:BF52)</f>
        <v>1524504504.5045042</v>
      </c>
      <c r="BG54" s="497">
        <f t="shared" si="16"/>
        <v>0</v>
      </c>
      <c r="BH54" s="497">
        <f t="shared" si="16"/>
        <v>0</v>
      </c>
      <c r="BI54" s="498">
        <f t="shared" si="16"/>
        <v>0</v>
      </c>
      <c r="BJ54" s="498">
        <f t="shared" si="16"/>
        <v>0</v>
      </c>
      <c r="BK54" s="497">
        <f>SUM(BK22:BK52)</f>
        <v>26</v>
      </c>
      <c r="BL54" s="495">
        <f>SUM(BL22:BL52)</f>
        <v>23</v>
      </c>
      <c r="BM54" s="497">
        <f>SUM(BM22:BM52)</f>
        <v>7</v>
      </c>
      <c r="BN54" s="497">
        <f>SUM(BN22:BN52)</f>
        <v>1274300000</v>
      </c>
      <c r="BO54" s="497">
        <f t="shared" ref="BO54:BV54" si="17">SUM(BO22:BO52)</f>
        <v>1274300000</v>
      </c>
      <c r="BP54" s="497">
        <f t="shared" si="17"/>
        <v>1148018018.0180178</v>
      </c>
      <c r="BQ54" s="497">
        <f t="shared" si="17"/>
        <v>0</v>
      </c>
      <c r="BR54" s="497">
        <f>SUM(BR22:BR53)</f>
        <v>936126126.12612605</v>
      </c>
      <c r="BS54" s="497">
        <f t="shared" si="17"/>
        <v>0</v>
      </c>
      <c r="BT54" s="498">
        <f t="shared" si="17"/>
        <v>0</v>
      </c>
      <c r="BU54" s="498">
        <f t="shared" si="17"/>
        <v>0</v>
      </c>
      <c r="BV54" s="497">
        <f t="shared" si="17"/>
        <v>22</v>
      </c>
      <c r="BW54" s="495">
        <f>SUM(BW22:BW52)</f>
        <v>17</v>
      </c>
      <c r="BX54" s="497">
        <f>SUM(BX22:BX52)</f>
        <v>6</v>
      </c>
      <c r="BY54" s="497">
        <f t="shared" ref="BY54:CG54" si="18">SUM(BY22:BY52)</f>
        <v>627220000</v>
      </c>
      <c r="BZ54" s="497">
        <f t="shared" si="18"/>
        <v>627220000</v>
      </c>
      <c r="CA54" s="497">
        <f t="shared" si="18"/>
        <v>565063063.06306303</v>
      </c>
      <c r="CB54" s="497">
        <f t="shared" si="18"/>
        <v>0</v>
      </c>
      <c r="CC54" s="497">
        <f>SUM(CC22:CC52)</f>
        <v>563153153.15315306</v>
      </c>
      <c r="CD54" s="497">
        <f t="shared" si="18"/>
        <v>0</v>
      </c>
      <c r="CE54" s="498">
        <f t="shared" si="18"/>
        <v>0</v>
      </c>
      <c r="CF54" s="498">
        <f t="shared" si="18"/>
        <v>0</v>
      </c>
      <c r="CG54" s="497">
        <f t="shared" si="18"/>
        <v>18</v>
      </c>
      <c r="CH54" s="495">
        <f>SUM(CH22:CH52)</f>
        <v>17</v>
      </c>
      <c r="CI54" s="497">
        <f>SUM(CI22:CI52)+'IN AND OUT'!P9</f>
        <v>8</v>
      </c>
      <c r="CJ54" s="497">
        <f t="shared" ref="CJ54:CR54" si="19">SUM(CJ22:CJ52)</f>
        <v>2821300000</v>
      </c>
      <c r="CK54" s="497">
        <f t="shared" si="19"/>
        <v>2614015000</v>
      </c>
      <c r="CL54" s="497">
        <f t="shared" si="19"/>
        <v>2354968468.4684682</v>
      </c>
      <c r="CM54" s="497">
        <f t="shared" si="19"/>
        <v>0</v>
      </c>
      <c r="CN54" s="497">
        <f t="shared" si="19"/>
        <v>365765765.76576579</v>
      </c>
      <c r="CO54" s="497">
        <f t="shared" si="19"/>
        <v>1292792792.7927928</v>
      </c>
      <c r="CP54" s="498">
        <f t="shared" si="19"/>
        <v>696409909.90990984</v>
      </c>
      <c r="CQ54" s="498">
        <f t="shared" si="19"/>
        <v>0</v>
      </c>
      <c r="CR54" s="497">
        <f t="shared" si="19"/>
        <v>19</v>
      </c>
      <c r="CS54" s="495">
        <f>SUM(CS22:CS52)</f>
        <v>15</v>
      </c>
      <c r="CT54" s="497">
        <f t="shared" ref="CT54:DC54" si="20">SUM(CT22:CT52)</f>
        <v>4</v>
      </c>
      <c r="CU54" s="497">
        <f t="shared" si="20"/>
        <v>276520000</v>
      </c>
      <c r="CV54" s="497">
        <f t="shared" si="20"/>
        <v>276520000</v>
      </c>
      <c r="CW54" s="497">
        <f t="shared" si="20"/>
        <v>249117117.11711708</v>
      </c>
      <c r="CX54" s="497">
        <f t="shared" si="20"/>
        <v>0</v>
      </c>
      <c r="CY54" s="497">
        <f t="shared" si="20"/>
        <v>246216216.21621618</v>
      </c>
      <c r="CZ54" s="497">
        <f t="shared" si="20"/>
        <v>0</v>
      </c>
      <c r="DA54" s="498">
        <f t="shared" si="20"/>
        <v>0</v>
      </c>
      <c r="DB54" s="498">
        <f t="shared" si="20"/>
        <v>0</v>
      </c>
      <c r="DC54" s="497">
        <f t="shared" si="20"/>
        <v>33</v>
      </c>
      <c r="DD54" s="495">
        <f>SUM(DD22:DD52)</f>
        <v>29</v>
      </c>
      <c r="DE54" s="497">
        <f t="shared" ref="DE54:DN54" si="21">SUM(DE22:DE52)</f>
        <v>9</v>
      </c>
      <c r="DF54" s="497">
        <f t="shared" si="21"/>
        <v>840600000</v>
      </c>
      <c r="DG54" s="497">
        <f t="shared" si="21"/>
        <v>840600000</v>
      </c>
      <c r="DH54" s="497">
        <f t="shared" si="21"/>
        <v>757297297.29729724</v>
      </c>
      <c r="DI54" s="497">
        <f t="shared" si="21"/>
        <v>0</v>
      </c>
      <c r="DJ54" s="497">
        <f t="shared" si="21"/>
        <v>757297297.29729724</v>
      </c>
      <c r="DK54" s="497">
        <f t="shared" si="21"/>
        <v>0</v>
      </c>
      <c r="DL54" s="498">
        <f t="shared" si="21"/>
        <v>0</v>
      </c>
      <c r="DM54" s="498">
        <f t="shared" si="21"/>
        <v>0</v>
      </c>
      <c r="DN54" s="497">
        <f t="shared" si="21"/>
        <v>1</v>
      </c>
      <c r="DO54" s="495">
        <f>SUM(DO22:DO52)</f>
        <v>1</v>
      </c>
      <c r="DP54" s="497">
        <f t="shared" ref="DP54:DY54" si="22">SUM(DP22:DP52)</f>
        <v>1</v>
      </c>
      <c r="DQ54" s="497">
        <f t="shared" si="22"/>
        <v>58700000</v>
      </c>
      <c r="DR54" s="497">
        <f t="shared" si="22"/>
        <v>58700000</v>
      </c>
      <c r="DS54" s="497">
        <f t="shared" si="22"/>
        <v>52882882.882882878</v>
      </c>
      <c r="DT54" s="497">
        <f t="shared" si="22"/>
        <v>0</v>
      </c>
      <c r="DU54" s="497">
        <f t="shared" si="22"/>
        <v>52882882.882882878</v>
      </c>
      <c r="DV54" s="497">
        <f t="shared" si="22"/>
        <v>0</v>
      </c>
      <c r="DW54" s="498">
        <f t="shared" si="22"/>
        <v>0</v>
      </c>
      <c r="DX54" s="498">
        <f t="shared" si="22"/>
        <v>0</v>
      </c>
      <c r="DY54" s="497">
        <f t="shared" si="22"/>
        <v>0</v>
      </c>
      <c r="DZ54" s="495">
        <f>SUM(DZ22:DZ52)</f>
        <v>0</v>
      </c>
      <c r="EA54" s="497">
        <f t="shared" ref="EA54:EJ54" si="23">SUM(EA22:EA52)</f>
        <v>0</v>
      </c>
      <c r="EB54" s="497">
        <f t="shared" si="23"/>
        <v>0</v>
      </c>
      <c r="EC54" s="497">
        <f t="shared" si="23"/>
        <v>0</v>
      </c>
      <c r="ED54" s="497">
        <f t="shared" si="23"/>
        <v>0</v>
      </c>
      <c r="EE54" s="497">
        <f t="shared" si="23"/>
        <v>0</v>
      </c>
      <c r="EF54" s="497">
        <f t="shared" si="23"/>
        <v>0</v>
      </c>
      <c r="EG54" s="497">
        <f t="shared" si="23"/>
        <v>0</v>
      </c>
      <c r="EH54" s="498">
        <f t="shared" si="23"/>
        <v>0</v>
      </c>
      <c r="EI54" s="498">
        <f t="shared" si="23"/>
        <v>0</v>
      </c>
      <c r="EJ54" s="497">
        <f t="shared" si="23"/>
        <v>0</v>
      </c>
      <c r="EK54" s="495">
        <f>SUM(EK22:EK52)</f>
        <v>0</v>
      </c>
      <c r="EL54" s="497">
        <f t="shared" ref="EL54:FF54" si="24">SUM(EL22:EL52)</f>
        <v>0</v>
      </c>
      <c r="EM54" s="497">
        <f t="shared" si="24"/>
        <v>0</v>
      </c>
      <c r="EN54" s="497">
        <f t="shared" si="24"/>
        <v>0</v>
      </c>
      <c r="EO54" s="497">
        <f t="shared" si="24"/>
        <v>0</v>
      </c>
      <c r="EP54" s="497">
        <f t="shared" si="24"/>
        <v>0</v>
      </c>
      <c r="EQ54" s="497">
        <f t="shared" si="24"/>
        <v>0</v>
      </c>
      <c r="ER54" s="497">
        <f t="shared" si="24"/>
        <v>0</v>
      </c>
      <c r="ES54" s="498">
        <f t="shared" si="24"/>
        <v>0</v>
      </c>
      <c r="ET54" s="498">
        <f t="shared" si="24"/>
        <v>0</v>
      </c>
      <c r="EU54" s="497">
        <f t="shared" ref="EU54" si="25">SUM(EU22:EU52)</f>
        <v>0</v>
      </c>
      <c r="EV54" s="495">
        <f>SUM(EV22:EV52)</f>
        <v>0</v>
      </c>
      <c r="EW54" s="497">
        <f t="shared" ref="EW54:FE54" si="26">SUM(EW22:EW52)</f>
        <v>0</v>
      </c>
      <c r="EX54" s="497">
        <f t="shared" si="26"/>
        <v>0</v>
      </c>
      <c r="EY54" s="497">
        <f t="shared" si="26"/>
        <v>0</v>
      </c>
      <c r="EZ54" s="497">
        <f t="shared" si="26"/>
        <v>0</v>
      </c>
      <c r="FA54" s="497">
        <f t="shared" si="26"/>
        <v>0</v>
      </c>
      <c r="FB54" s="497">
        <f t="shared" si="26"/>
        <v>0</v>
      </c>
      <c r="FC54" s="497">
        <f t="shared" si="26"/>
        <v>0</v>
      </c>
      <c r="FD54" s="498">
        <f t="shared" si="26"/>
        <v>0</v>
      </c>
      <c r="FE54" s="498">
        <f t="shared" si="26"/>
        <v>0</v>
      </c>
      <c r="FF54" s="497">
        <f t="shared" si="24"/>
        <v>0</v>
      </c>
      <c r="FG54" s="495">
        <f>SUM(FG22:FG52)</f>
        <v>0</v>
      </c>
      <c r="FH54" s="497">
        <f t="shared" ref="FH54:FP54" si="27">SUM(FH22:FH52)</f>
        <v>0</v>
      </c>
      <c r="FI54" s="497">
        <f t="shared" si="27"/>
        <v>0</v>
      </c>
      <c r="FJ54" s="497">
        <f t="shared" si="27"/>
        <v>0</v>
      </c>
      <c r="FK54" s="497">
        <f t="shared" si="27"/>
        <v>0</v>
      </c>
      <c r="FL54" s="497">
        <f t="shared" si="27"/>
        <v>0</v>
      </c>
      <c r="FM54" s="497">
        <f t="shared" si="27"/>
        <v>0</v>
      </c>
      <c r="FN54" s="497">
        <f t="shared" si="27"/>
        <v>0</v>
      </c>
      <c r="FO54" s="498">
        <f t="shared" si="27"/>
        <v>0</v>
      </c>
      <c r="FP54" s="498">
        <f t="shared" si="27"/>
        <v>0</v>
      </c>
      <c r="FQ54" s="485">
        <f t="shared" ref="FQ54:FW54" si="28">SUM(FQ22:FQ53)</f>
        <v>199</v>
      </c>
      <c r="FR54" s="485">
        <f t="shared" si="28"/>
        <v>162</v>
      </c>
      <c r="FS54" s="485">
        <f t="shared" si="28"/>
        <v>64</v>
      </c>
      <c r="FT54" s="485">
        <f t="shared" si="28"/>
        <v>11009540000</v>
      </c>
      <c r="FU54" s="485">
        <f t="shared" si="28"/>
        <v>10636645000</v>
      </c>
      <c r="FV54" s="485">
        <f t="shared" si="28"/>
        <v>9582563063.0630627</v>
      </c>
      <c r="FW54" s="485">
        <f t="shared" si="28"/>
        <v>9582563063.0630627</v>
      </c>
    </row>
    <row r="55" spans="1:179" ht="28.5" customHeight="1">
      <c r="K55" s="500" t="s">
        <v>24</v>
      </c>
      <c r="L55" s="501">
        <f>DS!AD328</f>
        <v>9582563063.0630627</v>
      </c>
      <c r="V55" s="500" t="s">
        <v>24</v>
      </c>
      <c r="W55" s="502">
        <f>R54</f>
        <v>670540540.54054034</v>
      </c>
      <c r="AI55" s="500" t="s">
        <v>24</v>
      </c>
      <c r="AJ55" s="503">
        <f>AC54</f>
        <v>552162162.16216207</v>
      </c>
      <c r="AT55" s="500" t="s">
        <v>24</v>
      </c>
      <c r="AU55" s="502">
        <f>AP54</f>
        <v>1570801801.8018017</v>
      </c>
      <c r="BI55" s="500" t="s">
        <v>24</v>
      </c>
      <c r="BJ55" s="502">
        <f>BA54</f>
        <v>1661711711.7117114</v>
      </c>
      <c r="BT55" s="500" t="s">
        <v>24</v>
      </c>
      <c r="BU55" s="502">
        <f>BP54</f>
        <v>1148018018.0180178</v>
      </c>
      <c r="CE55" s="500" t="s">
        <v>24</v>
      </c>
      <c r="CF55" s="502">
        <f>CA54</f>
        <v>565063063.06306303</v>
      </c>
      <c r="CP55" s="500" t="s">
        <v>24</v>
      </c>
      <c r="CQ55" s="502">
        <f>CL54</f>
        <v>2354968468.4684682</v>
      </c>
      <c r="DA55" s="500" t="s">
        <v>24</v>
      </c>
      <c r="DB55" s="502">
        <f>CW54</f>
        <v>249117117.11711708</v>
      </c>
      <c r="DL55" s="500" t="s">
        <v>24</v>
      </c>
      <c r="DM55" s="502">
        <f>DH54</f>
        <v>757297297.29729724</v>
      </c>
      <c r="DW55" s="500" t="s">
        <v>24</v>
      </c>
      <c r="DX55" s="502">
        <f>DS54</f>
        <v>52882882.882882878</v>
      </c>
      <c r="EH55" s="500" t="s">
        <v>24</v>
      </c>
      <c r="EI55" s="502">
        <f>ED54</f>
        <v>0</v>
      </c>
      <c r="ES55" s="500" t="s">
        <v>24</v>
      </c>
      <c r="ET55" s="502">
        <f>EO54</f>
        <v>0</v>
      </c>
      <c r="EW55" s="445"/>
      <c r="FD55" s="500" t="s">
        <v>24</v>
      </c>
      <c r="FE55" s="502">
        <f>EZ54</f>
        <v>0</v>
      </c>
      <c r="FO55" s="500" t="s">
        <v>24</v>
      </c>
      <c r="FP55" s="502">
        <f>FK54</f>
        <v>0</v>
      </c>
      <c r="FR55" s="285" t="s">
        <v>774</v>
      </c>
      <c r="FS55" s="504">
        <f>SMI!P44+DS!P320+'IN AND OUT'!P28</f>
        <v>64</v>
      </c>
      <c r="FT55" s="505">
        <f>SMI!Q44+DS!Q320+'IN AND OUT'!Q28</f>
        <v>11009540000</v>
      </c>
      <c r="FU55" s="505">
        <f>SMI!S44+DS!S320+'IN AND OUT'!S28</f>
        <v>10636645000</v>
      </c>
      <c r="FV55" s="505">
        <f>SMI!AB44+DS!AC320+'IN AND OUT'!AD28</f>
        <v>9582563063.0630627</v>
      </c>
      <c r="FW55" s="506"/>
    </row>
    <row r="56" spans="1:179" ht="17.100000000000001" customHeight="1">
      <c r="K56" s="500" t="s">
        <v>45</v>
      </c>
      <c r="L56" s="507">
        <f>DS!AD329</f>
        <v>0.70981948615281942</v>
      </c>
      <c r="V56" s="500" t="s">
        <v>46</v>
      </c>
      <c r="W56" s="507">
        <f>SUM(W55/W19)</f>
        <v>0.6386100386100384</v>
      </c>
      <c r="AI56" s="508" t="s">
        <v>47</v>
      </c>
      <c r="AJ56" s="509">
        <f>SUM(AJ55/AJ19)</f>
        <v>0.35480299576685115</v>
      </c>
      <c r="AT56" s="508" t="s">
        <v>47</v>
      </c>
      <c r="AU56" s="510">
        <f>SUM(AU55/AU19)</f>
        <v>1.0093505553746518</v>
      </c>
      <c r="BI56" s="508" t="s">
        <v>47</v>
      </c>
      <c r="BJ56" s="511">
        <f>SUM(BJ55/BJ19)</f>
        <v>1.0677665617424652</v>
      </c>
      <c r="BT56" s="508" t="s">
        <v>47</v>
      </c>
      <c r="BU56" s="510">
        <f>SUM(BU55/BU19)</f>
        <v>0.73768226057382669</v>
      </c>
      <c r="CE56" s="508" t="s">
        <v>47</v>
      </c>
      <c r="CF56" s="510">
        <f>SUM(CF55/CF19)</f>
        <v>0.36309273128550235</v>
      </c>
      <c r="CP56" s="508" t="s">
        <v>47</v>
      </c>
      <c r="CQ56" s="510">
        <f>SUM(CQ55/CQ19)</f>
        <v>1.513232750823112</v>
      </c>
      <c r="DA56" s="508" t="s">
        <v>47</v>
      </c>
      <c r="DB56" s="510">
        <f>SUM(DB55/DB19)</f>
        <v>0.1600752559788704</v>
      </c>
      <c r="DL56" s="508" t="s">
        <v>47</v>
      </c>
      <c r="DM56" s="510">
        <f>SUM(DM55/DM19)</f>
        <v>0.48661673721914683</v>
      </c>
      <c r="DW56" s="508" t="s">
        <v>47</v>
      </c>
      <c r="DX56" s="510" t="e">
        <f>SUM(DX55/DX19)</f>
        <v>#DIV/0!</v>
      </c>
      <c r="EH56" s="508" t="s">
        <v>47</v>
      </c>
      <c r="EI56" s="510" t="e">
        <f>SUM(EI55/EI19)</f>
        <v>#DIV/0!</v>
      </c>
      <c r="ES56" s="508" t="s">
        <v>47</v>
      </c>
      <c r="ET56" s="510" t="e">
        <f>SUM(ET55/ET19)</f>
        <v>#DIV/0!</v>
      </c>
      <c r="EW56" s="445"/>
      <c r="FD56" s="508" t="s">
        <v>47</v>
      </c>
      <c r="FE56" s="510" t="e">
        <f>SUM(FE55/FE19)</f>
        <v>#DIV/0!</v>
      </c>
      <c r="FO56" s="508" t="s">
        <v>47</v>
      </c>
      <c r="FP56" s="510" t="e">
        <f>SUM(FP55/FP19)</f>
        <v>#DIV/0!</v>
      </c>
      <c r="FQ56" s="512"/>
      <c r="FR56" s="285"/>
      <c r="FV56" s="512"/>
    </row>
    <row r="57" spans="1:179" ht="17.100000000000001" customHeight="1">
      <c r="V57" s="500" t="s">
        <v>45</v>
      </c>
      <c r="W57" s="507">
        <f>(W55/FV54)*100%</f>
        <v>6.997507202694081E-2</v>
      </c>
      <c r="AI57" s="508" t="s">
        <v>48</v>
      </c>
      <c r="AJ57" s="513">
        <f>(AJ55/FV54)*100%</f>
        <v>5.7621552660636878E-2</v>
      </c>
      <c r="AT57" s="508" t="s">
        <v>48</v>
      </c>
      <c r="AU57" s="507">
        <f>(AU55/FV54)*100%</f>
        <v>0.16392292870543296</v>
      </c>
      <c r="BI57" s="508" t="s">
        <v>48</v>
      </c>
      <c r="BJ57" s="507">
        <f>(BJ55/FV54)*100%</f>
        <v>0.17340994270279772</v>
      </c>
      <c r="BT57" s="508" t="s">
        <v>48</v>
      </c>
      <c r="BU57" s="507">
        <f>(BU55/$FV$54)*100%</f>
        <v>0.11980281376317437</v>
      </c>
      <c r="CE57" s="508" t="s">
        <v>48</v>
      </c>
      <c r="CF57" s="507">
        <f>(CF55/$FV$54)*100%</f>
        <v>5.896784183358568E-2</v>
      </c>
      <c r="CP57" s="508" t="s">
        <v>48</v>
      </c>
      <c r="CQ57" s="507">
        <f>(CQ55/$FV$54)*100%</f>
        <v>0.24575559304649161</v>
      </c>
      <c r="DA57" s="508" t="s">
        <v>48</v>
      </c>
      <c r="DB57" s="507">
        <f>(DB55/$FV$54)*100%</f>
        <v>2.5996919141326985E-2</v>
      </c>
      <c r="DL57" s="508" t="s">
        <v>48</v>
      </c>
      <c r="DM57" s="507">
        <f>(DM55/$FV$54)*100%</f>
        <v>7.9028678685807416E-2</v>
      </c>
      <c r="DW57" s="508" t="s">
        <v>48</v>
      </c>
      <c r="DX57" s="507">
        <f>(DX55/$FV$54)*100%</f>
        <v>5.5186574338054904E-3</v>
      </c>
      <c r="EH57" s="508" t="s">
        <v>48</v>
      </c>
      <c r="EI57" s="507">
        <f>(EI55/$FV$54)*100%</f>
        <v>0</v>
      </c>
      <c r="ES57" s="508" t="s">
        <v>48</v>
      </c>
      <c r="ET57" s="507">
        <f>(ET55/$FV$54)*100%</f>
        <v>0</v>
      </c>
      <c r="EW57" s="445"/>
      <c r="FD57" s="508" t="s">
        <v>48</v>
      </c>
      <c r="FE57" s="507">
        <f>(FE55/$FV$54)*100%</f>
        <v>0</v>
      </c>
      <c r="FO57" s="508" t="s">
        <v>48</v>
      </c>
      <c r="FP57" s="507">
        <f>(FP55/$FV$54)*100%</f>
        <v>0</v>
      </c>
    </row>
    <row r="58" spans="1:179" ht="17.100000000000001" customHeight="1">
      <c r="EW58" s="445"/>
      <c r="FR58" s="553" t="s">
        <v>791</v>
      </c>
      <c r="FS58" s="550">
        <f>FS54-FS55</f>
        <v>0</v>
      </c>
      <c r="FT58" s="551">
        <f>FT54-FT55</f>
        <v>0</v>
      </c>
      <c r="FU58" s="551">
        <f>FU54-FU55</f>
        <v>0</v>
      </c>
      <c r="FV58" s="514">
        <f>FV54-FV55</f>
        <v>0</v>
      </c>
      <c r="FW58" s="552">
        <f>FW54-FW55</f>
        <v>9582563063.0630627</v>
      </c>
    </row>
    <row r="59" spans="1:179" ht="17.100000000000001" customHeight="1">
      <c r="AT59" s="515"/>
      <c r="AU59" s="516"/>
      <c r="BT59" s="515"/>
      <c r="BU59" s="516"/>
      <c r="CE59" s="515"/>
      <c r="CF59" s="516"/>
      <c r="CP59" s="515"/>
      <c r="CQ59" s="516"/>
      <c r="DA59" s="515"/>
      <c r="DB59" s="516"/>
      <c r="DL59" s="515"/>
      <c r="DM59" s="516"/>
      <c r="DW59" s="515"/>
      <c r="DX59" s="516"/>
      <c r="EH59" s="515"/>
      <c r="EI59" s="516"/>
      <c r="ES59" s="515"/>
      <c r="ET59" s="516"/>
      <c r="EW59" s="445"/>
      <c r="FD59" s="515"/>
      <c r="FE59" s="516"/>
      <c r="FO59" s="515"/>
      <c r="FP59" s="516"/>
      <c r="FV59" s="444"/>
    </row>
    <row r="60" spans="1:179" ht="17.100000000000001" customHeight="1">
      <c r="BF60" s="517"/>
      <c r="BG60" s="517"/>
      <c r="BH60" s="517"/>
      <c r="BI60" s="517"/>
      <c r="BJ60" s="517"/>
      <c r="EW60" s="445"/>
      <c r="FV60" s="444"/>
    </row>
    <row r="61" spans="1:179" ht="17.100000000000001" customHeight="1">
      <c r="G61" s="518" t="s">
        <v>607</v>
      </c>
      <c r="H61" s="16">
        <f>H20</f>
        <v>3.5999999999999997E-2</v>
      </c>
      <c r="I61" s="16">
        <f t="shared" ref="I61:L61" si="29">I20</f>
        <v>0.03</v>
      </c>
      <c r="J61" s="16">
        <f t="shared" si="29"/>
        <v>2.4E-2</v>
      </c>
      <c r="K61" s="16">
        <f t="shared" si="29"/>
        <v>1.2E-2</v>
      </c>
      <c r="L61" s="16">
        <f t="shared" si="29"/>
        <v>6.0000000000000001E-3</v>
      </c>
      <c r="R61" s="519" t="s">
        <v>50</v>
      </c>
      <c r="S61" s="16">
        <f>S20</f>
        <v>3.5999999999999997E-2</v>
      </c>
      <c r="T61" s="16">
        <f t="shared" ref="T61:W61" si="30">T20</f>
        <v>0.03</v>
      </c>
      <c r="U61" s="16">
        <f t="shared" si="30"/>
        <v>2.4E-2</v>
      </c>
      <c r="V61" s="16">
        <f t="shared" si="30"/>
        <v>1.2E-2</v>
      </c>
      <c r="W61" s="16">
        <f t="shared" si="30"/>
        <v>6.0000000000000001E-3</v>
      </c>
      <c r="AC61" s="520" t="s">
        <v>49</v>
      </c>
      <c r="AD61" s="521" t="s">
        <v>599</v>
      </c>
      <c r="AE61" s="521" t="s">
        <v>600</v>
      </c>
      <c r="AF61" s="16">
        <f>AF20</f>
        <v>3.5999999999999997E-2</v>
      </c>
      <c r="AG61" s="16">
        <f t="shared" ref="AG61:AJ61" si="31">AG20</f>
        <v>0.03</v>
      </c>
      <c r="AH61" s="16">
        <f t="shared" si="31"/>
        <v>2.4E-2</v>
      </c>
      <c r="AI61" s="16">
        <f t="shared" si="31"/>
        <v>1.2E-2</v>
      </c>
      <c r="AJ61" s="16">
        <f t="shared" si="31"/>
        <v>6.0000000000000001E-3</v>
      </c>
      <c r="AP61" s="520" t="s">
        <v>49</v>
      </c>
      <c r="AQ61" s="16">
        <f>AQ20</f>
        <v>3.5999999999999997E-2</v>
      </c>
      <c r="AR61" s="16">
        <f t="shared" ref="AR61:AU61" si="32">AR20</f>
        <v>0.03</v>
      </c>
      <c r="AS61" s="16">
        <f t="shared" si="32"/>
        <v>2.4E-2</v>
      </c>
      <c r="AT61" s="16">
        <f t="shared" si="32"/>
        <v>1.2E-2</v>
      </c>
      <c r="AU61" s="16">
        <f t="shared" si="32"/>
        <v>6.0000000000000001E-3</v>
      </c>
      <c r="BA61" s="520" t="s">
        <v>49</v>
      </c>
      <c r="BB61" s="17">
        <f>BB20</f>
        <v>4.2000000000000003E-2</v>
      </c>
      <c r="BC61" s="17">
        <f t="shared" ref="BC61:BJ61" si="33">BC20</f>
        <v>3.5999999999999997E-2</v>
      </c>
      <c r="BD61" s="17">
        <f t="shared" si="33"/>
        <v>0.03</v>
      </c>
      <c r="BE61" s="17">
        <f t="shared" si="33"/>
        <v>2.4E-2</v>
      </c>
      <c r="BF61" s="17">
        <f t="shared" si="33"/>
        <v>2.1000000000000001E-2</v>
      </c>
      <c r="BG61" s="17">
        <f t="shared" si="33"/>
        <v>1.2E-2</v>
      </c>
      <c r="BH61" s="17">
        <f t="shared" si="33"/>
        <v>8.3000000000000001E-3</v>
      </c>
      <c r="BI61" s="17">
        <f t="shared" si="33"/>
        <v>6.0000000000000001E-3</v>
      </c>
      <c r="BJ61" s="17">
        <f t="shared" si="33"/>
        <v>4.1999999999999997E-3</v>
      </c>
      <c r="BP61" s="520" t="s">
        <v>49</v>
      </c>
      <c r="BQ61" s="16">
        <f>BQ20</f>
        <v>3.5999999999999997E-2</v>
      </c>
      <c r="BR61" s="16">
        <f t="shared" ref="BR61:BU61" si="34">BR20</f>
        <v>0.03</v>
      </c>
      <c r="BS61" s="16">
        <f t="shared" si="34"/>
        <v>2.4E-2</v>
      </c>
      <c r="BT61" s="16">
        <f t="shared" si="34"/>
        <v>1.2E-2</v>
      </c>
      <c r="BU61" s="16">
        <f t="shared" si="34"/>
        <v>6.0000000000000001E-3</v>
      </c>
      <c r="CA61" s="520" t="s">
        <v>49</v>
      </c>
      <c r="CB61" s="16">
        <f>CB20</f>
        <v>3.5999999999999997E-2</v>
      </c>
      <c r="CC61" s="16">
        <f t="shared" ref="CC61:CF61" si="35">CC20</f>
        <v>0.03</v>
      </c>
      <c r="CD61" s="16">
        <f t="shared" si="35"/>
        <v>2.4E-2</v>
      </c>
      <c r="CE61" s="16">
        <f t="shared" si="35"/>
        <v>1.2E-2</v>
      </c>
      <c r="CF61" s="16">
        <f t="shared" si="35"/>
        <v>6.0000000000000001E-3</v>
      </c>
      <c r="CL61" s="520" t="s">
        <v>49</v>
      </c>
      <c r="CM61" s="16">
        <f>CM20</f>
        <v>3.5999999999999997E-2</v>
      </c>
      <c r="CN61" s="16">
        <f t="shared" ref="CN61:CQ61" si="36">CN20</f>
        <v>0.03</v>
      </c>
      <c r="CO61" s="16">
        <f t="shared" si="36"/>
        <v>2.4E-2</v>
      </c>
      <c r="CP61" s="16">
        <f t="shared" si="36"/>
        <v>1.2E-2</v>
      </c>
      <c r="CQ61" s="16">
        <f t="shared" si="36"/>
        <v>6.0000000000000001E-3</v>
      </c>
      <c r="CW61" s="520" t="s">
        <v>49</v>
      </c>
      <c r="CX61" s="16">
        <f>CX20</f>
        <v>3.5999999999999997E-2</v>
      </c>
      <c r="CY61" s="16">
        <f t="shared" ref="CY61:DB61" si="37">CY20</f>
        <v>0.03</v>
      </c>
      <c r="CZ61" s="16">
        <f t="shared" si="37"/>
        <v>2.4E-2</v>
      </c>
      <c r="DA61" s="16">
        <f t="shared" si="37"/>
        <v>1.2E-2</v>
      </c>
      <c r="DB61" s="16">
        <f t="shared" si="37"/>
        <v>6.0000000000000001E-3</v>
      </c>
      <c r="DH61" s="520" t="s">
        <v>49</v>
      </c>
      <c r="DI61" s="16">
        <f>DI20</f>
        <v>3.5999999999999997E-2</v>
      </c>
      <c r="DJ61" s="16">
        <f t="shared" ref="DJ61:DM61" si="38">DJ20</f>
        <v>0.03</v>
      </c>
      <c r="DK61" s="16">
        <f t="shared" si="38"/>
        <v>2.4E-2</v>
      </c>
      <c r="DL61" s="16">
        <f t="shared" si="38"/>
        <v>1.2E-2</v>
      </c>
      <c r="DM61" s="16">
        <f t="shared" si="38"/>
        <v>6.0000000000000001E-3</v>
      </c>
      <c r="DS61" s="520" t="s">
        <v>49</v>
      </c>
      <c r="DT61" s="16">
        <f>DT20</f>
        <v>3.5999999999999997E-2</v>
      </c>
      <c r="DU61" s="16">
        <f t="shared" ref="DU61:DX61" si="39">DU20</f>
        <v>0.03</v>
      </c>
      <c r="DV61" s="16">
        <f t="shared" si="39"/>
        <v>2.4E-2</v>
      </c>
      <c r="DW61" s="16">
        <f t="shared" si="39"/>
        <v>1.2E-2</v>
      </c>
      <c r="DX61" s="16">
        <f t="shared" si="39"/>
        <v>6.0000000000000001E-3</v>
      </c>
      <c r="ED61" s="520" t="s">
        <v>49</v>
      </c>
      <c r="EE61" s="16">
        <f>EE20</f>
        <v>3.5999999999999997E-2</v>
      </c>
      <c r="EF61" s="16">
        <f t="shared" ref="EF61:EI61" si="40">EF20</f>
        <v>0.03</v>
      </c>
      <c r="EG61" s="16">
        <f t="shared" si="40"/>
        <v>2.4E-2</v>
      </c>
      <c r="EH61" s="16">
        <f t="shared" si="40"/>
        <v>1.2E-2</v>
      </c>
      <c r="EI61" s="16">
        <f t="shared" si="40"/>
        <v>6.0000000000000001E-3</v>
      </c>
      <c r="EO61" s="520" t="s">
        <v>49</v>
      </c>
      <c r="EP61" s="16">
        <v>0.03</v>
      </c>
      <c r="EQ61" s="17">
        <v>2.5000000000000001E-2</v>
      </c>
      <c r="ER61" s="17">
        <v>0.02</v>
      </c>
      <c r="ES61" s="17">
        <v>0.01</v>
      </c>
      <c r="ET61" s="18">
        <v>5.0000000000000001E-3</v>
      </c>
      <c r="EW61" s="445"/>
      <c r="EZ61" s="520" t="s">
        <v>49</v>
      </c>
      <c r="FA61" s="16">
        <v>0.03</v>
      </c>
      <c r="FB61" s="17">
        <v>2.5000000000000001E-2</v>
      </c>
      <c r="FC61" s="17">
        <v>0.02</v>
      </c>
      <c r="FD61" s="17">
        <v>0.01</v>
      </c>
      <c r="FE61" s="18">
        <v>5.0000000000000001E-3</v>
      </c>
      <c r="FK61" s="520" t="s">
        <v>49</v>
      </c>
      <c r="FL61" s="16">
        <v>0.03</v>
      </c>
      <c r="FM61" s="17">
        <v>2.5000000000000001E-2</v>
      </c>
      <c r="FN61" s="17">
        <v>0.02</v>
      </c>
      <c r="FO61" s="17">
        <v>0.01</v>
      </c>
      <c r="FP61" s="18">
        <v>5.0000000000000001E-3</v>
      </c>
      <c r="FV61" s="444"/>
    </row>
    <row r="62" spans="1:179" ht="17.100000000000001" customHeight="1">
      <c r="G62" s="522" t="s">
        <v>50</v>
      </c>
      <c r="H62" s="523">
        <f>H54*H61</f>
        <v>0</v>
      </c>
      <c r="I62" s="523">
        <f>I54*I61</f>
        <v>0</v>
      </c>
      <c r="J62" s="523">
        <f>J54</f>
        <v>0</v>
      </c>
      <c r="K62" s="523">
        <f>K54</f>
        <v>0</v>
      </c>
      <c r="L62" s="523">
        <f>L54</f>
        <v>0</v>
      </c>
      <c r="R62" s="524"/>
      <c r="S62" s="523"/>
      <c r="T62" s="523"/>
      <c r="U62" s="523"/>
      <c r="V62" s="523"/>
      <c r="W62" s="523"/>
      <c r="AC62" s="525" t="s">
        <v>50</v>
      </c>
      <c r="AD62" s="526">
        <f>AD54*F7</f>
        <v>0</v>
      </c>
      <c r="AE62" s="526">
        <f>AE54*G7</f>
        <v>0</v>
      </c>
      <c r="AF62" s="523">
        <f>AF54*AF61</f>
        <v>0</v>
      </c>
      <c r="AG62" s="523">
        <f>AG54*AG61</f>
        <v>16564864.864864862</v>
      </c>
      <c r="AH62" s="523">
        <f t="shared" ref="AH62" si="41">AH54*AH61</f>
        <v>0</v>
      </c>
      <c r="AI62" s="523">
        <f t="shared" ref="AI62" si="42">AI54*AI61</f>
        <v>0</v>
      </c>
      <c r="AJ62" s="523">
        <f t="shared" ref="AJ62" si="43">AJ54*AJ61</f>
        <v>0</v>
      </c>
      <c r="AM62" s="437"/>
      <c r="AP62" s="525" t="s">
        <v>50</v>
      </c>
      <c r="AQ62" s="523">
        <f t="shared" ref="AQ62:AU62" si="44">AQ54*AQ61</f>
        <v>0</v>
      </c>
      <c r="AR62" s="523">
        <f t="shared" si="44"/>
        <v>6840540.5405405397</v>
      </c>
      <c r="AS62" s="523">
        <f t="shared" si="44"/>
        <v>0</v>
      </c>
      <c r="AT62" s="523">
        <f t="shared" si="44"/>
        <v>16113405.405405404</v>
      </c>
      <c r="AU62" s="523">
        <f t="shared" si="44"/>
        <v>0</v>
      </c>
      <c r="BA62" s="527" t="s">
        <v>50</v>
      </c>
      <c r="BB62" s="523">
        <f t="shared" ref="BB62:BE62" si="45">BB54*BB61</f>
        <v>0</v>
      </c>
      <c r="BC62" s="523">
        <f t="shared" si="45"/>
        <v>4939459.4594594585</v>
      </c>
      <c r="BD62" s="523">
        <f t="shared" si="45"/>
        <v>0</v>
      </c>
      <c r="BE62" s="523">
        <f t="shared" si="45"/>
        <v>0</v>
      </c>
      <c r="BF62" s="523">
        <f>BF54*BF61</f>
        <v>32014594.59459459</v>
      </c>
      <c r="BG62" s="523">
        <f t="shared" ref="BG62" si="46">BG54*BG61</f>
        <v>0</v>
      </c>
      <c r="BH62" s="523">
        <f t="shared" ref="BH62" si="47">BH54*BH61</f>
        <v>0</v>
      </c>
      <c r="BI62" s="523">
        <f t="shared" ref="BI62" si="48">BI54*BI61</f>
        <v>0</v>
      </c>
      <c r="BJ62" s="523">
        <f t="shared" ref="BJ62" si="49">BJ54*BJ61</f>
        <v>0</v>
      </c>
      <c r="BM62" s="437"/>
      <c r="BP62" s="525" t="s">
        <v>50</v>
      </c>
      <c r="BQ62" s="523">
        <f t="shared" ref="BQ62" si="50">BQ54*BQ61</f>
        <v>0</v>
      </c>
      <c r="BR62" s="523">
        <f>BR54*BR61</f>
        <v>28083783.783783782</v>
      </c>
      <c r="BS62" s="523">
        <f t="shared" ref="BS62" si="51">BS54*BS61</f>
        <v>0</v>
      </c>
      <c r="BT62" s="523">
        <f t="shared" ref="BT62" si="52">BT54*BT61</f>
        <v>0</v>
      </c>
      <c r="BU62" s="523">
        <f t="shared" ref="BU62" si="53">BU54*BU61</f>
        <v>0</v>
      </c>
      <c r="BX62" s="437"/>
      <c r="CA62" s="525" t="s">
        <v>50</v>
      </c>
      <c r="CB62" s="523">
        <f t="shared" ref="CB62" si="54">CB54*CB61</f>
        <v>0</v>
      </c>
      <c r="CC62" s="523">
        <f>CC54*CC61</f>
        <v>16894594.59459459</v>
      </c>
      <c r="CD62" s="523">
        <f t="shared" ref="CD62" si="55">CD54*CD61</f>
        <v>0</v>
      </c>
      <c r="CE62" s="523">
        <f t="shared" ref="CE62" si="56">CE54*CE61</f>
        <v>0</v>
      </c>
      <c r="CF62" s="523">
        <f t="shared" ref="CF62" si="57">CF54*CF61</f>
        <v>0</v>
      </c>
      <c r="CI62" s="437"/>
      <c r="CL62" s="525" t="s">
        <v>50</v>
      </c>
      <c r="CM62" s="523">
        <f t="shared" ref="CM62" si="58">CM54*CM61</f>
        <v>0</v>
      </c>
      <c r="CN62" s="523">
        <f t="shared" ref="CN62" si="59">CN54*CN61</f>
        <v>10972972.972972972</v>
      </c>
      <c r="CO62" s="523">
        <f t="shared" ref="CO62" si="60">CO54*CO61</f>
        <v>31027027.02702703</v>
      </c>
      <c r="CP62" s="523">
        <f>CP54*CP61</f>
        <v>8356918.9189189179</v>
      </c>
      <c r="CQ62" s="523">
        <f t="shared" ref="CQ62" si="61">CQ54*CQ61</f>
        <v>0</v>
      </c>
      <c r="CT62" s="437"/>
      <c r="CW62" s="525" t="s">
        <v>50</v>
      </c>
      <c r="CX62" s="523">
        <f t="shared" ref="CX62" si="62">CX54*CX61</f>
        <v>0</v>
      </c>
      <c r="CY62" s="523">
        <f t="shared" ref="CY62" si="63">CY54*CY61</f>
        <v>7386486.4864864852</v>
      </c>
      <c r="CZ62" s="523">
        <f t="shared" ref="CZ62" si="64">CZ54*CZ61</f>
        <v>0</v>
      </c>
      <c r="DA62" s="523">
        <f t="shared" ref="DA62" si="65">DA54*DA61</f>
        <v>0</v>
      </c>
      <c r="DB62" s="523">
        <f t="shared" ref="DB62" si="66">DB54*DB61</f>
        <v>0</v>
      </c>
      <c r="DE62" s="437"/>
      <c r="DH62" s="525" t="s">
        <v>50</v>
      </c>
      <c r="DI62" s="523">
        <f t="shared" ref="DI62" si="67">DI54*DI61</f>
        <v>0</v>
      </c>
      <c r="DJ62" s="523">
        <f t="shared" ref="DJ62" si="68">DJ54*DJ61</f>
        <v>22718918.918918915</v>
      </c>
      <c r="DK62" s="523">
        <f t="shared" ref="DK62" si="69">DK54*DK61</f>
        <v>0</v>
      </c>
      <c r="DL62" s="523">
        <f t="shared" ref="DL62" si="70">DL54*DL61</f>
        <v>0</v>
      </c>
      <c r="DM62" s="523">
        <f t="shared" ref="DM62" si="71">DM54*DM61</f>
        <v>0</v>
      </c>
      <c r="DP62" s="437"/>
      <c r="DS62" s="525" t="s">
        <v>50</v>
      </c>
      <c r="DT62" s="523">
        <f t="shared" ref="DT62" si="72">DT54*DT61</f>
        <v>0</v>
      </c>
      <c r="DU62" s="523">
        <f t="shared" ref="DU62" si="73">DU54*DU61</f>
        <v>1586486.4864864864</v>
      </c>
      <c r="DV62" s="523">
        <f t="shared" ref="DV62" si="74">DV54*DV61</f>
        <v>0</v>
      </c>
      <c r="DW62" s="523">
        <f t="shared" ref="DW62" si="75">DW54*DW61</f>
        <v>0</v>
      </c>
      <c r="DX62" s="523">
        <f t="shared" ref="DX62" si="76">DX54*DX61</f>
        <v>0</v>
      </c>
      <c r="EA62" s="437"/>
      <c r="ED62" s="525" t="s">
        <v>50</v>
      </c>
      <c r="EE62" s="523">
        <f t="shared" ref="EE62" si="77">EE54*EE61</f>
        <v>0</v>
      </c>
      <c r="EF62" s="523">
        <f t="shared" ref="EF62" si="78">EF54*EF61</f>
        <v>0</v>
      </c>
      <c r="EG62" s="523">
        <f t="shared" ref="EG62" si="79">EG54*EG61</f>
        <v>0</v>
      </c>
      <c r="EH62" s="523">
        <f t="shared" ref="EH62" si="80">EH54*EH61</f>
        <v>0</v>
      </c>
      <c r="EI62" s="523">
        <f t="shared" ref="EI62" si="81">EI54*EI61</f>
        <v>0</v>
      </c>
      <c r="EL62" s="437"/>
      <c r="EO62" s="525" t="s">
        <v>50</v>
      </c>
      <c r="EP62" s="523">
        <f t="shared" ref="EP62" si="82">EP54*EP61</f>
        <v>0</v>
      </c>
      <c r="EQ62" s="523">
        <f t="shared" ref="EQ62" si="83">EQ54*EQ61</f>
        <v>0</v>
      </c>
      <c r="ER62" s="523">
        <f t="shared" ref="ER62" si="84">ER54*ER61</f>
        <v>0</v>
      </c>
      <c r="ES62" s="523">
        <f t="shared" ref="ES62" si="85">ES54*ES61</f>
        <v>0</v>
      </c>
      <c r="ET62" s="523">
        <f t="shared" ref="ET62" si="86">ET54*ET61</f>
        <v>0</v>
      </c>
      <c r="EZ62" s="525" t="s">
        <v>50</v>
      </c>
      <c r="FA62" s="523">
        <f t="shared" ref="FA62:FE62" si="87">FA54*FA61</f>
        <v>0</v>
      </c>
      <c r="FB62" s="523">
        <f t="shared" si="87"/>
        <v>0</v>
      </c>
      <c r="FC62" s="523">
        <f t="shared" si="87"/>
        <v>0</v>
      </c>
      <c r="FD62" s="523">
        <f t="shared" si="87"/>
        <v>0</v>
      </c>
      <c r="FE62" s="523">
        <f t="shared" si="87"/>
        <v>0</v>
      </c>
      <c r="FH62" s="437"/>
      <c r="FK62" s="525" t="s">
        <v>50</v>
      </c>
      <c r="FL62" s="523">
        <f t="shared" ref="FL62" si="88">FL54*FL61</f>
        <v>0</v>
      </c>
      <c r="FM62" s="523">
        <f t="shared" ref="FM62" si="89">FM54*FM61</f>
        <v>0</v>
      </c>
      <c r="FN62" s="523">
        <f t="shared" ref="FN62" si="90">FN54*FN61</f>
        <v>0</v>
      </c>
      <c r="FO62" s="523">
        <f t="shared" ref="FO62" si="91">FO54*FO61</f>
        <v>0</v>
      </c>
      <c r="FP62" s="523">
        <f t="shared" ref="FP62" si="92">FP54*FP61</f>
        <v>0</v>
      </c>
      <c r="FV62" s="528"/>
      <c r="FW62" s="354"/>
    </row>
    <row r="63" spans="1:179" ht="17.100000000000001" customHeight="1">
      <c r="K63" s="529" t="s">
        <v>24</v>
      </c>
      <c r="L63" s="530">
        <f>H62+I62+J62+K62+L62</f>
        <v>0</v>
      </c>
      <c r="V63" s="529" t="s">
        <v>24</v>
      </c>
      <c r="W63" s="501"/>
      <c r="AI63" s="508" t="s">
        <v>24</v>
      </c>
      <c r="AJ63" s="501">
        <f>SUM(AD62:AJ62)</f>
        <v>16564864.864864862</v>
      </c>
      <c r="AM63" s="437"/>
      <c r="AT63" s="508" t="s">
        <v>24</v>
      </c>
      <c r="AU63" s="501">
        <f>SUM(AQ62:AU62)</f>
        <v>22953945.945945945</v>
      </c>
      <c r="BI63" s="508" t="s">
        <v>24</v>
      </c>
      <c r="BJ63" s="501">
        <f>SUM(BB62:BJ62)</f>
        <v>36954054.054054052</v>
      </c>
      <c r="BM63" s="437"/>
      <c r="BT63" s="508" t="s">
        <v>24</v>
      </c>
      <c r="BU63" s="501">
        <f>SUM(BQ62:BU62)</f>
        <v>28083783.783783782</v>
      </c>
      <c r="BX63" s="437"/>
      <c r="CE63" s="508" t="s">
        <v>24</v>
      </c>
      <c r="CF63" s="501">
        <f>SUM(CB62:CF62)</f>
        <v>16894594.59459459</v>
      </c>
      <c r="CI63" s="437"/>
      <c r="CP63" s="508" t="s">
        <v>24</v>
      </c>
      <c r="CQ63" s="501">
        <f>SUM(CM62:CQ62)</f>
        <v>50356918.918918915</v>
      </c>
      <c r="CT63" s="437"/>
      <c r="DA63" s="508" t="s">
        <v>24</v>
      </c>
      <c r="DB63" s="501">
        <f>SUM(CX62:DB62)</f>
        <v>7386486.4864864852</v>
      </c>
      <c r="DE63" s="437"/>
      <c r="DL63" s="508" t="s">
        <v>24</v>
      </c>
      <c r="DM63" s="501">
        <f>SUM(DI62:DM62)</f>
        <v>22718918.918918915</v>
      </c>
      <c r="DP63" s="437"/>
      <c r="DW63" s="508" t="s">
        <v>24</v>
      </c>
      <c r="DX63" s="501">
        <f>SUM(DT62:DX62)</f>
        <v>1586486.4864864864</v>
      </c>
      <c r="EA63" s="437"/>
      <c r="EH63" s="508" t="s">
        <v>24</v>
      </c>
      <c r="EI63" s="501">
        <f>SUM(EE62:EI62)</f>
        <v>0</v>
      </c>
      <c r="EL63" s="437"/>
      <c r="ES63" s="508" t="s">
        <v>24</v>
      </c>
      <c r="ET63" s="501">
        <f>SUM(EP62:ET62)</f>
        <v>0</v>
      </c>
      <c r="FD63" s="508" t="s">
        <v>24</v>
      </c>
      <c r="FE63" s="501">
        <f>SUM(FA62:FE62)</f>
        <v>0</v>
      </c>
      <c r="FH63" s="437"/>
      <c r="FO63" s="508" t="s">
        <v>24</v>
      </c>
      <c r="FP63" s="501">
        <f>SUM(FL62:FP62)</f>
        <v>0</v>
      </c>
      <c r="FV63" s="354"/>
      <c r="FW63" s="354"/>
    </row>
    <row r="64" spans="1:179" ht="17.100000000000001" customHeight="1">
      <c r="AC64" s="531" t="s">
        <v>51</v>
      </c>
      <c r="AD64" s="532">
        <v>1</v>
      </c>
      <c r="AE64" s="532">
        <v>2</v>
      </c>
      <c r="AM64" s="437"/>
      <c r="AP64" s="531" t="s">
        <v>51</v>
      </c>
      <c r="AQ64" s="532">
        <v>1</v>
      </c>
      <c r="AR64" s="532">
        <v>2</v>
      </c>
      <c r="BA64" s="531" t="s">
        <v>51</v>
      </c>
      <c r="BB64" s="533">
        <v>1</v>
      </c>
      <c r="BC64" s="534">
        <v>2</v>
      </c>
      <c r="BD64" s="535"/>
      <c r="BE64" s="535"/>
      <c r="BM64" s="437"/>
      <c r="BP64" s="531" t="s">
        <v>51</v>
      </c>
      <c r="BQ64" s="532">
        <v>1</v>
      </c>
      <c r="BR64" s="532">
        <v>2</v>
      </c>
      <c r="BX64" s="437"/>
      <c r="CA64" s="531" t="s">
        <v>51</v>
      </c>
      <c r="CB64" s="532">
        <v>1</v>
      </c>
      <c r="CC64" s="532">
        <v>2</v>
      </c>
      <c r="CI64" s="437"/>
      <c r="CL64" s="531" t="s">
        <v>51</v>
      </c>
      <c r="CM64" s="532">
        <v>1</v>
      </c>
      <c r="CN64" s="532">
        <v>2</v>
      </c>
      <c r="CT64" s="437"/>
      <c r="CW64" s="531" t="s">
        <v>51</v>
      </c>
      <c r="CX64" s="532">
        <v>1</v>
      </c>
      <c r="CY64" s="532">
        <v>2</v>
      </c>
      <c r="DE64" s="437"/>
      <c r="DH64" s="531" t="s">
        <v>51</v>
      </c>
      <c r="DI64" s="532">
        <v>1</v>
      </c>
      <c r="DJ64" s="532">
        <v>2</v>
      </c>
      <c r="DP64" s="437"/>
      <c r="DS64" s="531" t="s">
        <v>51</v>
      </c>
      <c r="DT64" s="532">
        <v>1</v>
      </c>
      <c r="DU64" s="532">
        <v>2</v>
      </c>
      <c r="EA64" s="437"/>
      <c r="ED64" s="531" t="s">
        <v>51</v>
      </c>
      <c r="EE64" s="532">
        <v>1</v>
      </c>
      <c r="EF64" s="532">
        <v>2</v>
      </c>
      <c r="EL64" s="437"/>
      <c r="EO64" s="531" t="s">
        <v>51</v>
      </c>
      <c r="EP64" s="532">
        <v>1</v>
      </c>
      <c r="EQ64" s="532">
        <v>2</v>
      </c>
      <c r="EZ64" s="531" t="s">
        <v>51</v>
      </c>
      <c r="FA64" s="532">
        <v>1</v>
      </c>
      <c r="FB64" s="532">
        <v>2</v>
      </c>
      <c r="FH64" s="437"/>
      <c r="FK64" s="531" t="s">
        <v>51</v>
      </c>
      <c r="FL64" s="532">
        <v>1</v>
      </c>
      <c r="FM64" s="532">
        <v>2</v>
      </c>
      <c r="FV64" s="354"/>
      <c r="FW64" s="354"/>
    </row>
    <row r="65" spans="7:179" ht="17.100000000000001" customHeight="1">
      <c r="G65" s="536" t="s">
        <v>52</v>
      </c>
      <c r="H65" s="537" t="s">
        <v>770</v>
      </c>
      <c r="I65" s="537" t="s">
        <v>771</v>
      </c>
      <c r="J65" s="537" t="s">
        <v>609</v>
      </c>
      <c r="L65" s="538"/>
      <c r="R65" s="536" t="s">
        <v>52</v>
      </c>
      <c r="S65" s="537" t="s">
        <v>770</v>
      </c>
      <c r="T65" s="537" t="s">
        <v>771</v>
      </c>
      <c r="U65" s="537" t="s">
        <v>772</v>
      </c>
      <c r="AC65" s="527"/>
      <c r="AD65" s="501">
        <f>H69</f>
        <v>0</v>
      </c>
      <c r="AE65" s="501">
        <f>T66</f>
        <v>0</v>
      </c>
      <c r="AM65" s="437"/>
      <c r="AP65" s="527"/>
      <c r="AQ65" s="501"/>
      <c r="AR65" s="501">
        <f>T66</f>
        <v>0</v>
      </c>
      <c r="BA65" s="527"/>
      <c r="BB65" s="539">
        <f>H69</f>
        <v>0</v>
      </c>
      <c r="BC65" s="523">
        <f>T66</f>
        <v>0</v>
      </c>
      <c r="BM65" s="437"/>
      <c r="BP65" s="527"/>
      <c r="BQ65" s="501"/>
      <c r="BR65" s="501">
        <f>AP66</f>
        <v>0</v>
      </c>
      <c r="BX65" s="437"/>
      <c r="CA65" s="527"/>
      <c r="CB65" s="501">
        <f>AO69</f>
        <v>0</v>
      </c>
      <c r="CC65" s="501">
        <f>BA66</f>
        <v>0</v>
      </c>
      <c r="CI65" s="437"/>
      <c r="CL65" s="527"/>
      <c r="CM65" s="501">
        <f>AZ69</f>
        <v>0</v>
      </c>
      <c r="CN65" s="501">
        <f>BP66</f>
        <v>0</v>
      </c>
      <c r="CT65" s="437"/>
      <c r="CW65" s="527"/>
      <c r="CX65" s="501">
        <f>BO69</f>
        <v>0</v>
      </c>
      <c r="CY65" s="501">
        <f>CA66</f>
        <v>0</v>
      </c>
      <c r="DE65" s="437"/>
      <c r="DH65" s="527"/>
      <c r="DI65" s="501">
        <f>BZ69</f>
        <v>0</v>
      </c>
      <c r="DJ65" s="501">
        <f>CL66</f>
        <v>0</v>
      </c>
      <c r="DP65" s="437"/>
      <c r="DS65" s="527"/>
      <c r="DT65" s="501">
        <f>CK69</f>
        <v>0</v>
      </c>
      <c r="DU65" s="501">
        <f>CW66</f>
        <v>0</v>
      </c>
      <c r="EA65" s="437"/>
      <c r="ED65" s="527"/>
      <c r="EE65" s="501">
        <f>CV69</f>
        <v>0</v>
      </c>
      <c r="EF65" s="501">
        <f>DH66</f>
        <v>0</v>
      </c>
      <c r="EL65" s="437"/>
      <c r="EO65" s="527"/>
      <c r="EP65" s="501">
        <f>DG69</f>
        <v>0</v>
      </c>
      <c r="EQ65" s="501">
        <f>DS66</f>
        <v>0</v>
      </c>
      <c r="EZ65" s="527"/>
      <c r="FA65" s="501">
        <f>DG69</f>
        <v>0</v>
      </c>
      <c r="FB65" s="501">
        <f>DS66</f>
        <v>0</v>
      </c>
      <c r="FH65" s="437"/>
      <c r="FK65" s="527"/>
      <c r="FL65" s="501">
        <f>DR69</f>
        <v>0</v>
      </c>
      <c r="FM65" s="501">
        <f>ED66</f>
        <v>0</v>
      </c>
      <c r="FV65" s="354"/>
      <c r="FW65" s="354"/>
    </row>
    <row r="66" spans="7:179" ht="17.100000000000001" customHeight="1">
      <c r="G66" s="527"/>
      <c r="H66" s="540"/>
      <c r="I66" s="540"/>
      <c r="J66" s="540"/>
      <c r="R66" s="527"/>
      <c r="S66" s="541"/>
      <c r="T66" s="541"/>
      <c r="U66" s="541"/>
      <c r="V66" s="538"/>
      <c r="W66" s="538"/>
      <c r="EW66" s="445"/>
    </row>
    <row r="67" spans="7:179" ht="17.100000000000001" customHeight="1">
      <c r="H67" s="542"/>
      <c r="I67" s="542"/>
      <c r="J67" s="542"/>
      <c r="AC67" s="543" t="s">
        <v>53</v>
      </c>
      <c r="AD67" s="544">
        <f>AJ63+AD65</f>
        <v>16564864.864864862</v>
      </c>
      <c r="AE67" s="535"/>
      <c r="AJ67" s="445"/>
      <c r="AP67" s="531" t="s">
        <v>53</v>
      </c>
      <c r="AQ67" s="545">
        <f>AQ65+AU63</f>
        <v>22953945.945945945</v>
      </c>
      <c r="AU67" s="445"/>
      <c r="BA67" s="531" t="s">
        <v>53</v>
      </c>
      <c r="BB67" s="546">
        <f>BJ63+BB65</f>
        <v>36954054.054054052</v>
      </c>
      <c r="BC67" s="524"/>
      <c r="BD67" s="535"/>
      <c r="BE67" s="535"/>
      <c r="BJ67" s="445"/>
      <c r="BP67" s="531" t="s">
        <v>53</v>
      </c>
      <c r="BQ67" s="547">
        <f>BU63+BR65+BQ65</f>
        <v>28083783.783783782</v>
      </c>
      <c r="BU67" s="445"/>
      <c r="CA67" s="531" t="s">
        <v>53</v>
      </c>
      <c r="CB67" s="547">
        <f>CF63+CC65+CB65</f>
        <v>16894594.59459459</v>
      </c>
      <c r="CF67" s="445"/>
      <c r="CL67" s="531" t="s">
        <v>53</v>
      </c>
      <c r="CM67" s="547">
        <f>CQ63+CN65+CM65</f>
        <v>50356918.918918915</v>
      </c>
      <c r="CQ67" s="445"/>
      <c r="CW67" s="531" t="s">
        <v>53</v>
      </c>
      <c r="CX67" s="547">
        <f>DB63+CY65+CX65</f>
        <v>7386486.4864864852</v>
      </c>
      <c r="DB67" s="445"/>
      <c r="DH67" s="531" t="s">
        <v>53</v>
      </c>
      <c r="DI67" s="547">
        <f>DM63+DJ65+DI65</f>
        <v>22718918.918918915</v>
      </c>
      <c r="DM67" s="445"/>
      <c r="DS67" s="531" t="s">
        <v>53</v>
      </c>
      <c r="DT67" s="547">
        <f>DX63+DU65+DT65</f>
        <v>1586486.4864864864</v>
      </c>
      <c r="DX67" s="445"/>
      <c r="ED67" s="531" t="s">
        <v>53</v>
      </c>
      <c r="EE67" s="547">
        <f>EI63+EF65+EE65</f>
        <v>0</v>
      </c>
      <c r="EI67" s="445"/>
      <c r="EO67" s="531" t="s">
        <v>53</v>
      </c>
      <c r="EP67" s="547">
        <f>ET63+EQ65+EP65</f>
        <v>0</v>
      </c>
      <c r="ET67" s="445"/>
      <c r="EW67" s="445"/>
      <c r="EZ67" s="531" t="s">
        <v>53</v>
      </c>
      <c r="FA67" s="547">
        <f>FE63+FB65+FA65</f>
        <v>0</v>
      </c>
      <c r="FE67" s="445"/>
      <c r="FK67" s="531" t="s">
        <v>53</v>
      </c>
      <c r="FL67" s="547">
        <f>FP63+FM65+FL65</f>
        <v>0</v>
      </c>
      <c r="FP67" s="445"/>
    </row>
    <row r="68" spans="7:179" ht="17.100000000000001" customHeight="1">
      <c r="G68" s="548" t="s">
        <v>608</v>
      </c>
      <c r="H68" s="532">
        <v>1</v>
      </c>
      <c r="I68" s="532">
        <v>2</v>
      </c>
      <c r="J68" s="542"/>
      <c r="R68" s="531" t="s">
        <v>51</v>
      </c>
      <c r="S68" s="532">
        <v>1</v>
      </c>
      <c r="T68" s="532">
        <v>2</v>
      </c>
    </row>
    <row r="69" spans="7:179" ht="17.100000000000001" customHeight="1">
      <c r="G69" s="527"/>
      <c r="H69" s="501"/>
      <c r="I69" s="501"/>
      <c r="R69" s="527"/>
      <c r="S69" s="501"/>
      <c r="T69" s="501"/>
    </row>
    <row r="70" spans="7:179" ht="17.100000000000001" customHeight="1">
      <c r="H70" s="542"/>
      <c r="I70" s="542"/>
    </row>
    <row r="71" spans="7:179" ht="17.100000000000001" customHeight="1">
      <c r="G71" s="531" t="s">
        <v>53</v>
      </c>
      <c r="H71" s="549">
        <f>L63+I66+H69+H66+J66</f>
        <v>0</v>
      </c>
      <c r="R71" s="531" t="s">
        <v>53</v>
      </c>
      <c r="S71" s="546"/>
    </row>
    <row r="65536" ht="12.75" customHeight="1"/>
  </sheetData>
  <sheetProtection selectLockedCells="1" selectUnlockedCells="1"/>
  <mergeCells count="198">
    <mergeCell ref="FQ19:FU19"/>
    <mergeCell ref="FV19:FW19"/>
    <mergeCell ref="G20:G21"/>
    <mergeCell ref="Y20:Y21"/>
    <mergeCell ref="AD19:AE19"/>
    <mergeCell ref="A1:D1"/>
    <mergeCell ref="A3:D3"/>
    <mergeCell ref="A12:A13"/>
    <mergeCell ref="B12:B13"/>
    <mergeCell ref="C12:C13"/>
    <mergeCell ref="X19:AC19"/>
    <mergeCell ref="W14:W18"/>
    <mergeCell ref="AU20:AU21"/>
    <mergeCell ref="AX20:AX21"/>
    <mergeCell ref="AY20:AY21"/>
    <mergeCell ref="AZ20:AZ21"/>
    <mergeCell ref="B20:B21"/>
    <mergeCell ref="C20:C21"/>
    <mergeCell ref="M20:M21"/>
    <mergeCell ref="N20:N21"/>
    <mergeCell ref="X20:X21"/>
    <mergeCell ref="R20:R21"/>
    <mergeCell ref="Q20:Q21"/>
    <mergeCell ref="DB20:DB21"/>
    <mergeCell ref="DM20:DM21"/>
    <mergeCell ref="BL20:BL21"/>
    <mergeCell ref="BV20:BV21"/>
    <mergeCell ref="BW20:BW21"/>
    <mergeCell ref="CG20:CG21"/>
    <mergeCell ref="CH20:CH21"/>
    <mergeCell ref="BU20:BU21"/>
    <mergeCell ref="CF20:CF21"/>
    <mergeCell ref="CQ20:CQ21"/>
    <mergeCell ref="FQ20:FQ21"/>
    <mergeCell ref="FR20:FR21"/>
    <mergeCell ref="DO20:DO21"/>
    <mergeCell ref="DY20:DY21"/>
    <mergeCell ref="DZ20:DZ21"/>
    <mergeCell ref="EJ20:EJ21"/>
    <mergeCell ref="EK20:EK21"/>
    <mergeCell ref="DX20:DX21"/>
    <mergeCell ref="EI20:EI21"/>
    <mergeCell ref="ET20:ET21"/>
    <mergeCell ref="FP20:FP21"/>
    <mergeCell ref="EC20:EC21"/>
    <mergeCell ref="ED20:ED21"/>
    <mergeCell ref="EE20:EE21"/>
    <mergeCell ref="EF20:EF21"/>
    <mergeCell ref="EG20:EG21"/>
    <mergeCell ref="EH20:EH21"/>
    <mergeCell ref="FE20:FE21"/>
    <mergeCell ref="B19:K19"/>
    <mergeCell ref="M19:V19"/>
    <mergeCell ref="Z20:Z21"/>
    <mergeCell ref="AA20:AA21"/>
    <mergeCell ref="AB20:AB21"/>
    <mergeCell ref="AC20:AC21"/>
    <mergeCell ref="AD20:AD21"/>
    <mergeCell ref="F20:F21"/>
    <mergeCell ref="S20:S21"/>
    <mergeCell ref="T20:T21"/>
    <mergeCell ref="U20:U21"/>
    <mergeCell ref="V20:V21"/>
    <mergeCell ref="W20:W21"/>
    <mergeCell ref="P20:P21"/>
    <mergeCell ref="O20:O21"/>
    <mergeCell ref="H20:H21"/>
    <mergeCell ref="I20:I21"/>
    <mergeCell ref="J20:J21"/>
    <mergeCell ref="K20:K21"/>
    <mergeCell ref="L20:L21"/>
    <mergeCell ref="D20:D21"/>
    <mergeCell ref="E20:E21"/>
    <mergeCell ref="AJ20:AJ21"/>
    <mergeCell ref="AG20:AG21"/>
    <mergeCell ref="AF20:AF21"/>
    <mergeCell ref="AF19:AI19"/>
    <mergeCell ref="AM20:AM21"/>
    <mergeCell ref="AK19:AT19"/>
    <mergeCell ref="AH20:AH21"/>
    <mergeCell ref="AI20:AI21"/>
    <mergeCell ref="AE20:AE21"/>
    <mergeCell ref="AK20:AK21"/>
    <mergeCell ref="AL20:AL21"/>
    <mergeCell ref="AN20:AN21"/>
    <mergeCell ref="AO20:AO21"/>
    <mergeCell ref="AP20:AP21"/>
    <mergeCell ref="AQ20:AQ21"/>
    <mergeCell ref="AR20:AR21"/>
    <mergeCell ref="AS20:AS21"/>
    <mergeCell ref="AT20:AT21"/>
    <mergeCell ref="BJ20:BJ21"/>
    <mergeCell ref="AV19:BI19"/>
    <mergeCell ref="BK19:BT19"/>
    <mergeCell ref="BM20:BM21"/>
    <mergeCell ref="BN20:BN21"/>
    <mergeCell ref="BO20:BO21"/>
    <mergeCell ref="BP20:BP21"/>
    <mergeCell ref="BQ20:BQ21"/>
    <mergeCell ref="BR20:BR21"/>
    <mergeCell ref="BS20:BS21"/>
    <mergeCell ref="BT20:BT21"/>
    <mergeCell ref="BA20:BA21"/>
    <mergeCell ref="BF20:BF21"/>
    <mergeCell ref="BG20:BG21"/>
    <mergeCell ref="BH20:BH21"/>
    <mergeCell ref="BI20:BI21"/>
    <mergeCell ref="AV20:AV21"/>
    <mergeCell ref="AW20:AW21"/>
    <mergeCell ref="BK20:BK21"/>
    <mergeCell ref="BC20:BC21"/>
    <mergeCell ref="BD20:BD21"/>
    <mergeCell ref="BE20:BE21"/>
    <mergeCell ref="BB20:BB21"/>
    <mergeCell ref="BV19:CE19"/>
    <mergeCell ref="BX20:BX21"/>
    <mergeCell ref="BY20:BY21"/>
    <mergeCell ref="BZ20:BZ21"/>
    <mergeCell ref="CA20:CA21"/>
    <mergeCell ref="CB20:CB21"/>
    <mergeCell ref="CC20:CC21"/>
    <mergeCell ref="CD20:CD21"/>
    <mergeCell ref="CE20:CE21"/>
    <mergeCell ref="CG19:CP19"/>
    <mergeCell ref="CI20:CI21"/>
    <mergeCell ref="CJ20:CJ21"/>
    <mergeCell ref="CK20:CK21"/>
    <mergeCell ref="CL20:CL21"/>
    <mergeCell ref="CM20:CM21"/>
    <mergeCell ref="CN20:CN21"/>
    <mergeCell ref="CO20:CO21"/>
    <mergeCell ref="CP20:CP21"/>
    <mergeCell ref="CR19:DA19"/>
    <mergeCell ref="CT20:CT21"/>
    <mergeCell ref="CU20:CU21"/>
    <mergeCell ref="CV20:CV21"/>
    <mergeCell ref="CW20:CW21"/>
    <mergeCell ref="CX20:CX21"/>
    <mergeCell ref="CY20:CY21"/>
    <mergeCell ref="CZ20:CZ21"/>
    <mergeCell ref="DA20:DA21"/>
    <mergeCell ref="CR20:CR21"/>
    <mergeCell ref="CS20:CS21"/>
    <mergeCell ref="DC19:DL19"/>
    <mergeCell ref="DE20:DE21"/>
    <mergeCell ref="DF20:DF21"/>
    <mergeCell ref="DG20:DG21"/>
    <mergeCell ref="DH20:DH21"/>
    <mergeCell ref="DI20:DI21"/>
    <mergeCell ref="DJ20:DJ21"/>
    <mergeCell ref="DK20:DK21"/>
    <mergeCell ref="DL20:DL21"/>
    <mergeCell ref="DC20:DC21"/>
    <mergeCell ref="DD20:DD21"/>
    <mergeCell ref="DN19:DW19"/>
    <mergeCell ref="DP20:DP21"/>
    <mergeCell ref="DQ20:DQ21"/>
    <mergeCell ref="DR20:DR21"/>
    <mergeCell ref="DS20:DS21"/>
    <mergeCell ref="DT20:DT21"/>
    <mergeCell ref="DU20:DU21"/>
    <mergeCell ref="DV20:DV21"/>
    <mergeCell ref="DW20:DW21"/>
    <mergeCell ref="DN20:DN21"/>
    <mergeCell ref="FF19:FO19"/>
    <mergeCell ref="FH20:FH21"/>
    <mergeCell ref="FI20:FI21"/>
    <mergeCell ref="FJ20:FJ21"/>
    <mergeCell ref="FK20:FK21"/>
    <mergeCell ref="FL20:FL21"/>
    <mergeCell ref="FM20:FM21"/>
    <mergeCell ref="FN20:FN21"/>
    <mergeCell ref="FO20:FO21"/>
    <mergeCell ref="FF20:FF21"/>
    <mergeCell ref="FG20:FG21"/>
    <mergeCell ref="DY19:EH19"/>
    <mergeCell ref="EA20:EA21"/>
    <mergeCell ref="EB20:EB21"/>
    <mergeCell ref="EJ19:ES19"/>
    <mergeCell ref="EL20:EL21"/>
    <mergeCell ref="EM20:EM21"/>
    <mergeCell ref="EN20:EN21"/>
    <mergeCell ref="EO20:EO21"/>
    <mergeCell ref="EP20:EP21"/>
    <mergeCell ref="EQ20:EQ21"/>
    <mergeCell ref="ER20:ER21"/>
    <mergeCell ref="ES20:ES21"/>
    <mergeCell ref="EU19:FD19"/>
    <mergeCell ref="EU20:EU21"/>
    <mergeCell ref="EV20:EV21"/>
    <mergeCell ref="EW20:EW21"/>
    <mergeCell ref="EX20:EX21"/>
    <mergeCell ref="EY20:EY21"/>
    <mergeCell ref="EZ20:EZ21"/>
    <mergeCell ref="FA20:FA21"/>
    <mergeCell ref="FB20:FB21"/>
    <mergeCell ref="FC20:FC21"/>
    <mergeCell ref="FD20:FD21"/>
  </mergeCells>
  <printOptions horizontalCentered="1" verticalCentered="1"/>
  <pageMargins left="0.5" right="0.5" top="0.51180555555555596" bottom="0.51180555555555596" header="0.51180555555555596" footer="0.51180555555555596"/>
  <pageSetup scale="55" firstPageNumber="0" orientation="landscape" useFirstPageNumber="1" horizontalDpi="300" verticalDpi="300" r:id="rId1"/>
  <headerFooter alignWithMargins="0">
    <oddHeader>&amp;CTAB]</oddHeader>
    <oddFooter>&amp;CPage PAGE]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46"/>
  </sheetPr>
  <dimension ref="A1:IL48"/>
  <sheetViews>
    <sheetView zoomScale="70" zoomScaleNormal="70" zoomScaleSheetLayoutView="10" workbookViewId="0">
      <pane xSplit="4" ySplit="8" topLeftCell="I9" activePane="bottomRight" state="frozen"/>
      <selection pane="topRight" activeCell="E1" sqref="E1"/>
      <selection pane="bottomLeft" activeCell="A9" sqref="A9"/>
      <selection pane="bottomRight" activeCell="N10" sqref="N10"/>
    </sheetView>
  </sheetViews>
  <sheetFormatPr defaultColWidth="8.5" defaultRowHeight="24.95" customHeight="1"/>
  <cols>
    <col min="1" max="1" width="24.5" style="30" customWidth="1"/>
    <col min="2" max="2" width="26.5" style="227" customWidth="1"/>
    <col min="3" max="3" width="21.5" style="32" bestFit="1" customWidth="1"/>
    <col min="4" max="4" width="31.125" style="28" customWidth="1"/>
    <col min="5" max="5" width="24.25" style="28" customWidth="1"/>
    <col min="6" max="6" width="27.875" style="28" customWidth="1"/>
    <col min="7" max="7" width="20" style="28" customWidth="1"/>
    <col min="8" max="8" width="25.125" style="28" customWidth="1"/>
    <col min="9" max="9" width="26" style="28" customWidth="1"/>
    <col min="10" max="10" width="31.75" style="28" customWidth="1"/>
    <col min="11" max="11" width="17.25" style="28" customWidth="1"/>
    <col min="12" max="12" width="19.25" style="28" hidden="1" customWidth="1"/>
    <col min="13" max="13" width="20.375" style="5" customWidth="1"/>
    <col min="14" max="14" width="22.75" style="5" customWidth="1"/>
    <col min="15" max="22" width="11.5" style="5" customWidth="1"/>
    <col min="23" max="23" width="21.5" style="5" customWidth="1"/>
    <col min="24" max="24" width="15.5" style="5" customWidth="1"/>
    <col min="25" max="246" width="8.5" style="5" customWidth="1"/>
    <col min="247" max="16384" width="8.5" style="6"/>
  </cols>
  <sheetData>
    <row r="1" spans="1:14" ht="24.95" customHeight="1">
      <c r="A1" s="1105" t="s">
        <v>54</v>
      </c>
      <c r="B1" s="1105"/>
      <c r="C1" s="351"/>
      <c r="D1" s="351"/>
      <c r="E1" s="351"/>
      <c r="F1" s="351"/>
      <c r="G1" s="351"/>
      <c r="H1" s="351"/>
      <c r="I1" s="809" t="s">
        <v>797</v>
      </c>
      <c r="J1" s="810">
        <f>DS!AD328</f>
        <v>9582563063.0630627</v>
      </c>
      <c r="K1" s="808"/>
    </row>
    <row r="2" spans="1:14" ht="24.95" customHeight="1">
      <c r="A2" s="1105" t="s">
        <v>762</v>
      </c>
      <c r="B2" s="1105"/>
      <c r="C2" s="351"/>
      <c r="D2" s="351"/>
      <c r="E2" s="351"/>
      <c r="F2" s="351"/>
      <c r="G2" s="351"/>
      <c r="H2" s="351"/>
      <c r="I2" s="809" t="s">
        <v>798</v>
      </c>
      <c r="J2" s="810">
        <f>DS!AD322</f>
        <v>13500000000</v>
      </c>
      <c r="K2" s="808"/>
    </row>
    <row r="3" spans="1:14" ht="24.95" customHeight="1">
      <c r="A3" s="1106">
        <f>DS!B3</f>
        <v>46266</v>
      </c>
      <c r="B3" s="1105"/>
      <c r="C3" s="351"/>
      <c r="D3" s="351"/>
      <c r="E3" s="351"/>
      <c r="F3" s="351"/>
      <c r="G3" s="351"/>
      <c r="H3" s="351"/>
      <c r="I3" s="811"/>
      <c r="J3" s="812">
        <f>DS!AD329</f>
        <v>0.70981948615281942</v>
      </c>
      <c r="K3" s="808"/>
    </row>
    <row r="4" spans="1:14" ht="24.95" customHeight="1">
      <c r="A4" s="1128"/>
      <c r="B4" s="1128"/>
      <c r="C4" s="351"/>
      <c r="D4" s="351"/>
      <c r="E4" s="351"/>
      <c r="F4" s="351"/>
      <c r="G4" s="351"/>
      <c r="H4" s="351"/>
      <c r="I4" s="351"/>
      <c r="J4" s="351"/>
      <c r="K4" s="808"/>
    </row>
    <row r="5" spans="1:14" ht="24.95" customHeight="1">
      <c r="A5" s="1128"/>
      <c r="B5" s="1128"/>
      <c r="C5" s="351"/>
      <c r="D5" s="351"/>
      <c r="E5" s="351"/>
      <c r="F5" s="351"/>
      <c r="G5" s="351"/>
      <c r="H5" s="351"/>
      <c r="I5" s="351"/>
      <c r="J5" s="351"/>
      <c r="K5" s="808"/>
    </row>
    <row r="6" spans="1:14" s="3" customFormat="1" ht="24.95" customHeight="1">
      <c r="A6" s="1129" t="s">
        <v>60</v>
      </c>
      <c r="B6" s="1107" t="s">
        <v>55</v>
      </c>
      <c r="C6" s="1120" t="s">
        <v>56</v>
      </c>
      <c r="D6" s="1123" t="s">
        <v>57</v>
      </c>
      <c r="E6" s="1115" t="s">
        <v>58</v>
      </c>
      <c r="F6" s="1115"/>
      <c r="G6" s="1115"/>
      <c r="H6" s="27"/>
      <c r="I6" s="214"/>
      <c r="J6" s="216"/>
      <c r="K6" s="223"/>
      <c r="L6" s="1112" t="s">
        <v>59</v>
      </c>
      <c r="M6" s="1111" t="s">
        <v>792</v>
      </c>
      <c r="N6" s="1110" t="s">
        <v>793</v>
      </c>
    </row>
    <row r="7" spans="1:14" s="3" customFormat="1" ht="24.95" customHeight="1">
      <c r="A7" s="1130"/>
      <c r="B7" s="1108"/>
      <c r="C7" s="1121"/>
      <c r="D7" s="1124"/>
      <c r="E7" s="1126" t="s">
        <v>783</v>
      </c>
      <c r="F7" s="1116" t="s">
        <v>784</v>
      </c>
      <c r="G7" s="1118" t="s">
        <v>20</v>
      </c>
      <c r="H7" s="24" t="s">
        <v>61</v>
      </c>
      <c r="I7" s="215" t="s">
        <v>63</v>
      </c>
      <c r="J7" s="217" t="s">
        <v>62</v>
      </c>
      <c r="K7" s="29" t="s">
        <v>20</v>
      </c>
      <c r="L7" s="1113"/>
      <c r="M7" s="1111"/>
      <c r="N7" s="1110"/>
    </row>
    <row r="8" spans="1:14" s="3" customFormat="1" ht="24.95" customHeight="1">
      <c r="A8" s="1130"/>
      <c r="B8" s="1109"/>
      <c r="C8" s="1122"/>
      <c r="D8" s="1125"/>
      <c r="E8" s="1127"/>
      <c r="F8" s="1117"/>
      <c r="G8" s="1119"/>
      <c r="H8" s="167"/>
      <c r="I8" s="224"/>
      <c r="J8" s="218"/>
      <c r="K8" s="225"/>
      <c r="L8" s="1114"/>
      <c r="M8" s="1111"/>
      <c r="N8" s="1110"/>
    </row>
    <row r="9" spans="1:14" s="229" customFormat="1" ht="24.95" customHeight="1">
      <c r="A9" s="788" t="str">
        <f>'TRAFFIC &amp; COMMISSION REPORT'!B19</f>
        <v>MONIQ</v>
      </c>
      <c r="B9" s="789"/>
      <c r="C9" s="789">
        <f>'TRAFFIC &amp; COMMISSION REPORT'!L56</f>
        <v>0.70981948615281942</v>
      </c>
      <c r="D9" s="790">
        <f>'TRAFFIC &amp; COMMISSION REPORT'!L55</f>
        <v>9582563063.0630627</v>
      </c>
      <c r="E9" s="639"/>
      <c r="F9" s="639"/>
      <c r="G9" s="639"/>
      <c r="H9" s="639"/>
      <c r="I9" s="639"/>
      <c r="J9" s="639"/>
      <c r="K9" s="639"/>
      <c r="L9" s="640">
        <f t="shared" ref="L9:L33" si="0">K9*0.95</f>
        <v>0</v>
      </c>
      <c r="M9" s="699">
        <f>('TRAFFIC &amp; COMMISSION REPORT'!L19-'TRAFFIC &amp; COMMISSION REPORT'!L55)*1.11</f>
        <v>4348355000.000001</v>
      </c>
      <c r="N9" s="916">
        <f>M9/9</f>
        <v>483150555.55555564</v>
      </c>
    </row>
    <row r="10" spans="1:14" s="229" customFormat="1" ht="12.6" customHeight="1">
      <c r="A10" s="787"/>
      <c r="B10" s="787"/>
      <c r="C10" s="787"/>
      <c r="D10" s="787"/>
      <c r="E10" s="642"/>
      <c r="F10" s="642"/>
      <c r="G10" s="642"/>
      <c r="H10" s="642"/>
      <c r="I10" s="642"/>
      <c r="J10" s="642"/>
      <c r="K10" s="642"/>
      <c r="L10" s="643"/>
      <c r="M10" s="717"/>
    </row>
    <row r="11" spans="1:14" s="229" customFormat="1" ht="24.95" customHeight="1">
      <c r="A11" s="850" t="str">
        <f>'TRAFFIC &amp; COMMISSION REPORT'!M19</f>
        <v>HERDY</v>
      </c>
      <c r="B11" s="789">
        <f>'TRAFFIC &amp; COMMISSION REPORT'!W56</f>
        <v>0.6386100386100384</v>
      </c>
      <c r="C11" s="789">
        <f>'TRAFFIC &amp; COMMISSION REPORT'!W57</f>
        <v>6.997507202694081E-2</v>
      </c>
      <c r="D11" s="790">
        <f>'TRAFFIC &amp; COMMISSION REPORT'!W55</f>
        <v>670540540.54054034</v>
      </c>
      <c r="E11" s="639"/>
      <c r="F11" s="639"/>
      <c r="G11" s="639"/>
      <c r="H11" s="639"/>
      <c r="I11" s="645"/>
      <c r="J11" s="639"/>
      <c r="K11" s="639"/>
      <c r="L11" s="640">
        <f t="shared" si="0"/>
        <v>0</v>
      </c>
      <c r="M11" s="699">
        <f>('TRAFFIC &amp; COMMISSION REPORT'!W19-'TRAFFIC &amp; COMMISSION REPORT'!W55)*1.11</f>
        <v>421200000.00000024</v>
      </c>
    </row>
    <row r="12" spans="1:14" s="229" customFormat="1" ht="12" customHeight="1">
      <c r="A12" s="787"/>
      <c r="B12" s="787"/>
      <c r="C12" s="787"/>
      <c r="D12" s="787"/>
      <c r="E12" s="642"/>
      <c r="F12" s="642"/>
      <c r="G12" s="642"/>
      <c r="H12" s="642"/>
      <c r="I12" s="799"/>
      <c r="J12" s="642"/>
      <c r="K12" s="642"/>
      <c r="L12" s="643"/>
      <c r="M12" s="699"/>
    </row>
    <row r="13" spans="1:14" s="229" customFormat="1" ht="24.95" customHeight="1">
      <c r="A13" s="788" t="str">
        <f>'TRAFFIC &amp; COMMISSION REPORT'!X19</f>
        <v>AJENG</v>
      </c>
      <c r="B13" s="789">
        <f>'TRAFFIC &amp; COMMISSION REPORT'!AJ56</f>
        <v>0.35480299576685115</v>
      </c>
      <c r="C13" s="789">
        <f>'TRAFFIC &amp; COMMISSION REPORT'!AJ57</f>
        <v>5.7621552660636878E-2</v>
      </c>
      <c r="D13" s="790">
        <f>'TRAFFIC &amp; COMMISSION REPORT'!AJ55</f>
        <v>552162162.16216207</v>
      </c>
      <c r="E13" s="639"/>
      <c r="F13" s="639"/>
      <c r="G13" s="639"/>
      <c r="H13" s="639"/>
      <c r="I13" s="639"/>
      <c r="J13" s="639">
        <f>'TRAFFIC &amp; COMMISSION REPORT'!AD67</f>
        <v>16564864.864864862</v>
      </c>
      <c r="K13" s="639">
        <f>G13+H13+I13+J13</f>
        <v>16564864.864864862</v>
      </c>
      <c r="L13" s="640">
        <f t="shared" si="0"/>
        <v>15736621.621621618</v>
      </c>
      <c r="M13" s="699">
        <f>('TRAFFIC &amp; COMMISSION REPORT'!AJ19-'TRAFFIC &amp; COMMISSION REPORT'!AJ55)*1.11</f>
        <v>1114537500.0000002</v>
      </c>
      <c r="N13" s="637"/>
    </row>
    <row r="14" spans="1:14" s="229" customFormat="1" ht="12" customHeight="1">
      <c r="A14" s="787"/>
      <c r="B14" s="787"/>
      <c r="C14" s="787"/>
      <c r="D14" s="787"/>
      <c r="E14" s="642"/>
      <c r="F14" s="642"/>
      <c r="G14" s="642"/>
      <c r="H14" s="642"/>
      <c r="I14" s="642"/>
      <c r="J14" s="642"/>
      <c r="K14" s="642"/>
      <c r="L14" s="643"/>
      <c r="M14" s="699"/>
    </row>
    <row r="15" spans="1:14" s="229" customFormat="1" ht="24.95" customHeight="1">
      <c r="A15" s="888" t="str">
        <f>'TRAFFIC &amp; COMMISSION REPORT'!AK19</f>
        <v>SYANDY</v>
      </c>
      <c r="B15" s="889">
        <f>'TRAFFIC &amp; COMMISSION REPORT'!AU56</f>
        <v>1.0093505553746518</v>
      </c>
      <c r="C15" s="889">
        <f>'TRAFFIC &amp; COMMISSION REPORT'!AU57</f>
        <v>0.16392292870543296</v>
      </c>
      <c r="D15" s="890">
        <f>'TRAFFIC &amp; COMMISSION REPORT'!AU55</f>
        <v>1570801801.8018017</v>
      </c>
      <c r="E15" s="890"/>
      <c r="F15" s="890"/>
      <c r="G15" s="890"/>
      <c r="H15" s="890"/>
      <c r="I15" s="890"/>
      <c r="J15" s="890">
        <f>'TRAFFIC &amp; COMMISSION REPORT'!AQ67</f>
        <v>22953945.945945945</v>
      </c>
      <c r="K15" s="890">
        <f>G15+H15+I15+J15</f>
        <v>22953945.945945945</v>
      </c>
      <c r="L15" s="640">
        <f t="shared" si="0"/>
        <v>21806248.648648646</v>
      </c>
      <c r="M15" s="891">
        <f>('TRAFFIC &amp; COMMISSION REPORT'!AU19-'TRAFFIC &amp; COMMISSION REPORT'!AU55)*1.11</f>
        <v>-16152499.999999868</v>
      </c>
      <c r="N15" s="637"/>
    </row>
    <row r="16" spans="1:14" s="229" customFormat="1" ht="12" customHeight="1">
      <c r="A16" s="787"/>
      <c r="B16" s="787"/>
      <c r="C16" s="787"/>
      <c r="D16" s="787"/>
      <c r="E16" s="642"/>
      <c r="F16" s="642"/>
      <c r="G16" s="642"/>
      <c r="H16" s="642"/>
      <c r="I16" s="642"/>
      <c r="J16" s="642"/>
      <c r="K16" s="642"/>
      <c r="L16" s="643"/>
      <c r="M16" s="699"/>
    </row>
    <row r="17" spans="1:14" s="229" customFormat="1" ht="24.95" customHeight="1">
      <c r="A17" s="888" t="str">
        <f>'TRAFFIC &amp; COMMISSION REPORT'!AV19</f>
        <v>SISKA (VIP CA)</v>
      </c>
      <c r="B17" s="889">
        <f>'TRAFFIC &amp; COMMISSION REPORT'!BJ56</f>
        <v>1.0677665617424652</v>
      </c>
      <c r="C17" s="889">
        <f>'TRAFFIC &amp; COMMISSION REPORT'!BJ57</f>
        <v>0.17340994270279772</v>
      </c>
      <c r="D17" s="890">
        <f>'TRAFFIC &amp; COMMISSION REPORT'!BJ55</f>
        <v>1661711711.7117114</v>
      </c>
      <c r="E17" s="890"/>
      <c r="F17" s="890">
        <f>(DS!S51+DS!S52+DS!S53+DS!S54)*0.48%</f>
        <v>1782719.9999999998</v>
      </c>
      <c r="G17" s="890">
        <f>E17+F17</f>
        <v>1782719.9999999998</v>
      </c>
      <c r="H17" s="890"/>
      <c r="I17" s="890"/>
      <c r="J17" s="890">
        <f>'TRAFFIC &amp; COMMISSION REPORT'!BB67</f>
        <v>36954054.054054052</v>
      </c>
      <c r="K17" s="890">
        <f>G17+H17+I17+J17</f>
        <v>38736774.054054052</v>
      </c>
      <c r="L17" s="640">
        <f t="shared" si="0"/>
        <v>36799935.351351351</v>
      </c>
      <c r="M17" s="891">
        <f>('TRAFFIC &amp; COMMISSION REPORT'!BJ19-'TRAFFIC &amp; COMMISSION REPORT'!BJ55)*1.11</f>
        <v>-117062499.99999967</v>
      </c>
      <c r="N17" s="637"/>
    </row>
    <row r="18" spans="1:14" s="229" customFormat="1" ht="12" customHeight="1">
      <c r="A18" s="787"/>
      <c r="B18" s="787"/>
      <c r="C18" s="787"/>
      <c r="D18" s="787"/>
      <c r="E18" s="642"/>
      <c r="F18" s="642" t="s">
        <v>951</v>
      </c>
      <c r="G18" s="642"/>
      <c r="H18" s="642"/>
      <c r="I18" s="642"/>
      <c r="J18" s="642"/>
      <c r="K18" s="642"/>
      <c r="L18" s="643"/>
      <c r="M18" s="699"/>
    </row>
    <row r="19" spans="1:14" s="229" customFormat="1" ht="24.95" customHeight="1">
      <c r="A19" s="788" t="str">
        <f>'TRAFFIC &amp; COMMISSION REPORT'!BK19</f>
        <v>DIAN</v>
      </c>
      <c r="B19" s="789">
        <f>'TRAFFIC &amp; COMMISSION REPORT'!BU56</f>
        <v>0.73768226057382669</v>
      </c>
      <c r="C19" s="789">
        <f>'TRAFFIC &amp; COMMISSION REPORT'!BU57</f>
        <v>0.11980281376317437</v>
      </c>
      <c r="D19" s="790">
        <f>'TRAFFIC &amp; COMMISSION REPORT'!BU55</f>
        <v>1148018018.0180178</v>
      </c>
      <c r="E19" s="639"/>
      <c r="F19" s="639"/>
      <c r="G19" s="639"/>
      <c r="H19" s="639"/>
      <c r="I19" s="639">
        <f>SMI!AI7</f>
        <v>12000000</v>
      </c>
      <c r="J19" s="639">
        <f>'TRAFFIC &amp; COMMISSION REPORT'!BQ67</f>
        <v>28083783.783783782</v>
      </c>
      <c r="K19" s="639">
        <f>G19+H19+I19+J19</f>
        <v>40083783.783783779</v>
      </c>
      <c r="L19" s="640">
        <f t="shared" si="0"/>
        <v>38079594.59459459</v>
      </c>
      <c r="M19" s="699">
        <f>('TRAFFIC &amp; COMMISSION REPORT'!BU19-'TRAFFIC &amp; COMMISSION REPORT'!BU55)*1.11</f>
        <v>453137500.0000003</v>
      </c>
      <c r="N19" s="637"/>
    </row>
    <row r="20" spans="1:14" s="229" customFormat="1" ht="12" customHeight="1">
      <c r="A20" s="787"/>
      <c r="B20" s="787"/>
      <c r="C20" s="787"/>
      <c r="D20" s="787"/>
      <c r="E20" s="642"/>
      <c r="F20" s="642"/>
      <c r="G20" s="642"/>
      <c r="H20" s="642"/>
      <c r="I20" s="642" t="str">
        <f>SMI!B7</f>
        <v>CBPI 11396</v>
      </c>
      <c r="J20" s="642"/>
      <c r="K20" s="642"/>
      <c r="L20" s="643"/>
      <c r="M20" s="699"/>
    </row>
    <row r="21" spans="1:14" s="229" customFormat="1" ht="24.95" customHeight="1">
      <c r="A21" s="788" t="str">
        <f>'TRAFFIC &amp; COMMISSION REPORT'!BV19</f>
        <v>IRMA</v>
      </c>
      <c r="B21" s="789">
        <f>'TRAFFIC &amp; COMMISSION REPORT'!CF56</f>
        <v>0.36309273128550235</v>
      </c>
      <c r="C21" s="789">
        <f>'TRAFFIC &amp; COMMISSION REPORT'!CF57</f>
        <v>5.896784183358568E-2</v>
      </c>
      <c r="D21" s="790">
        <f>'TRAFFIC &amp; COMMISSION REPORT'!CF55</f>
        <v>565063063.06306303</v>
      </c>
      <c r="E21" s="639"/>
      <c r="F21" s="639"/>
      <c r="G21" s="639"/>
      <c r="H21" s="639"/>
      <c r="I21" s="639"/>
      <c r="J21" s="639">
        <f>'TRAFFIC &amp; COMMISSION REPORT'!CB67</f>
        <v>16894594.59459459</v>
      </c>
      <c r="K21" s="639">
        <f>G21+H21+I21+J21</f>
        <v>16894594.59459459</v>
      </c>
      <c r="L21" s="640">
        <f t="shared" si="0"/>
        <v>16049864.86486486</v>
      </c>
      <c r="M21" s="699">
        <f>('TRAFFIC &amp; COMMISSION REPORT'!CF19-'TRAFFIC &amp; COMMISSION REPORT'!CF55)*1.11</f>
        <v>1100217500.0000002</v>
      </c>
      <c r="N21" s="637"/>
    </row>
    <row r="22" spans="1:14" s="229" customFormat="1" ht="12" customHeight="1">
      <c r="A22" s="787"/>
      <c r="B22" s="787"/>
      <c r="C22" s="787"/>
      <c r="D22" s="787"/>
      <c r="E22" s="642"/>
      <c r="F22" s="642"/>
      <c r="G22" s="642"/>
      <c r="H22" s="642"/>
      <c r="I22" s="642"/>
      <c r="J22" s="639"/>
      <c r="K22" s="642"/>
      <c r="L22" s="643"/>
      <c r="M22" s="699"/>
    </row>
    <row r="23" spans="1:14" s="229" customFormat="1" ht="24" customHeight="1">
      <c r="A23" s="888" t="str">
        <f>'TRAFFIC &amp; COMMISSION REPORT'!CG19</f>
        <v>JOJO</v>
      </c>
      <c r="B23" s="889">
        <f>'TRAFFIC &amp; COMMISSION REPORT'!CQ56</f>
        <v>1.513232750823112</v>
      </c>
      <c r="C23" s="889">
        <f>'TRAFFIC &amp; COMMISSION REPORT'!CQ57</f>
        <v>0.24575559304649161</v>
      </c>
      <c r="D23" s="890">
        <f>'TRAFFIC &amp; COMMISSION REPORT'!CQ55</f>
        <v>2354968468.4684682</v>
      </c>
      <c r="E23" s="890"/>
      <c r="F23" s="890"/>
      <c r="G23" s="890"/>
      <c r="H23" s="890"/>
      <c r="I23" s="890"/>
      <c r="J23" s="890">
        <f>'TRAFFIC &amp; COMMISSION REPORT'!CM67</f>
        <v>50356918.918918915</v>
      </c>
      <c r="K23" s="890">
        <f>G23+H23+I23+J23</f>
        <v>50356918.918918915</v>
      </c>
      <c r="L23" s="640">
        <f t="shared" si="0"/>
        <v>47839072.972972967</v>
      </c>
      <c r="M23" s="891">
        <f>('TRAFFIC &amp; COMMISSION REPORT'!CQ19-'TRAFFIC &amp; COMMISSION REPORT'!CQ55)*1.11</f>
        <v>-886577499.99999976</v>
      </c>
      <c r="N23" s="637"/>
    </row>
    <row r="24" spans="1:14" s="229" customFormat="1" ht="11.25" customHeight="1">
      <c r="A24" s="787"/>
      <c r="B24" s="787"/>
      <c r="C24" s="787"/>
      <c r="D24" s="787"/>
      <c r="E24" s="642"/>
      <c r="F24" s="642"/>
      <c r="G24" s="642"/>
      <c r="H24" s="642"/>
      <c r="I24" s="642"/>
      <c r="J24" s="642"/>
      <c r="K24" s="642"/>
      <c r="L24" s="643"/>
      <c r="M24" s="699"/>
    </row>
    <row r="25" spans="1:14" s="229" customFormat="1" ht="22.5" customHeight="1">
      <c r="A25" s="788" t="str">
        <f>'TRAFFIC &amp; COMMISSION REPORT'!CR19</f>
        <v>ARI</v>
      </c>
      <c r="B25" s="848">
        <f>'TRAFFIC &amp; COMMISSION REPORT'!DB56</f>
        <v>0.1600752559788704</v>
      </c>
      <c r="C25" s="848">
        <f>'TRAFFIC &amp; COMMISSION REPORT'!DB57</f>
        <v>2.5996919141326985E-2</v>
      </c>
      <c r="D25" s="790">
        <f>'TRAFFIC &amp; COMMISSION REPORT'!DB55</f>
        <v>249117117.11711708</v>
      </c>
      <c r="E25" s="639"/>
      <c r="F25" s="639"/>
      <c r="G25" s="639"/>
      <c r="H25" s="639"/>
      <c r="I25" s="639"/>
      <c r="J25" s="639">
        <f>'TRAFFIC &amp; COMMISSION REPORT'!CX67</f>
        <v>7386486.4864864852</v>
      </c>
      <c r="K25" s="639">
        <f>G25+H25+I25+J25+E25</f>
        <v>7386486.4864864852</v>
      </c>
      <c r="L25" s="640">
        <f t="shared" si="0"/>
        <v>7017162.1621621605</v>
      </c>
      <c r="M25" s="699">
        <f>('TRAFFIC &amp; COMMISSION REPORT'!DB19-'TRAFFIC &amp; COMMISSION REPORT'!DB55)*1.11</f>
        <v>1450917500</v>
      </c>
      <c r="N25" s="637"/>
    </row>
    <row r="26" spans="1:14" s="229" customFormat="1" ht="11.25" customHeight="1">
      <c r="A26" s="787"/>
      <c r="B26" s="787"/>
      <c r="C26" s="787"/>
      <c r="D26" s="787"/>
      <c r="E26" s="642"/>
      <c r="F26" s="642"/>
      <c r="G26" s="642"/>
      <c r="H26" s="642"/>
      <c r="I26" s="642"/>
      <c r="J26" s="642"/>
      <c r="K26" s="642"/>
      <c r="L26" s="643"/>
      <c r="M26" s="699"/>
    </row>
    <row r="27" spans="1:14" s="229" customFormat="1" ht="21.75" customHeight="1">
      <c r="A27" s="788" t="str">
        <f>'TRAFFIC &amp; COMMISSION REPORT'!DC19</f>
        <v>ALVIN</v>
      </c>
      <c r="B27" s="789">
        <f>'TRAFFIC &amp; COMMISSION REPORT'!DM56</f>
        <v>0.48661673721914683</v>
      </c>
      <c r="C27" s="789">
        <f>'TRAFFIC &amp; COMMISSION REPORT'!DM57</f>
        <v>7.9028678685807416E-2</v>
      </c>
      <c r="D27" s="790">
        <f>'TRAFFIC &amp; COMMISSION REPORT'!DM55</f>
        <v>757297297.29729724</v>
      </c>
      <c r="E27" s="639"/>
      <c r="F27" s="639"/>
      <c r="G27" s="639"/>
      <c r="H27" s="639"/>
      <c r="I27" s="639"/>
      <c r="J27" s="639">
        <f>'TRAFFIC &amp; COMMISSION REPORT'!DI67</f>
        <v>22718918.918918915</v>
      </c>
      <c r="K27" s="639">
        <f>G27+H27+I27+J27</f>
        <v>22718918.918918915</v>
      </c>
      <c r="L27" s="640">
        <f t="shared" si="0"/>
        <v>21582972.972972967</v>
      </c>
      <c r="M27" s="699">
        <f>('TRAFFIC &amp; COMMISSION REPORT'!DM19-'TRAFFIC &amp; COMMISSION REPORT'!DM55)*1.11</f>
        <v>886837500.00000012</v>
      </c>
      <c r="N27" s="637"/>
    </row>
    <row r="28" spans="1:14" s="229" customFormat="1" ht="18" customHeight="1">
      <c r="A28" s="787"/>
      <c r="B28" s="787"/>
      <c r="C28" s="787"/>
      <c r="D28" s="787"/>
      <c r="E28" s="641"/>
      <c r="F28" s="641"/>
      <c r="G28" s="641"/>
      <c r="H28" s="641"/>
      <c r="I28" s="641"/>
      <c r="J28" s="641"/>
      <c r="K28" s="641"/>
      <c r="L28" s="643"/>
      <c r="M28" s="699"/>
    </row>
    <row r="29" spans="1:14" s="229" customFormat="1" ht="24.95" customHeight="1">
      <c r="A29" s="787" t="str">
        <f>'TRAFFIC &amp; COMMISSION REPORT'!DN19</f>
        <v>ARIF PS</v>
      </c>
      <c r="B29" s="848">
        <f>'TRAFFIC &amp; COMMISSION REPORT'!DX57</f>
        <v>5.5186574338054904E-3</v>
      </c>
      <c r="C29" s="848">
        <f>'TRAFFIC &amp; COMMISSION REPORT'!DX57</f>
        <v>5.5186574338054904E-3</v>
      </c>
      <c r="D29" s="849">
        <f>'TRAFFIC &amp; COMMISSION REPORT'!DX55</f>
        <v>52882882.882882878</v>
      </c>
      <c r="E29" s="639"/>
      <c r="F29" s="639"/>
      <c r="G29" s="639"/>
      <c r="H29" s="639"/>
      <c r="I29" s="639"/>
      <c r="J29" s="639">
        <f>'TRAFFIC &amp; COMMISSION REPORT'!DT67</f>
        <v>1586486.4864864864</v>
      </c>
      <c r="K29" s="639">
        <f>G29+H29+I29+J29</f>
        <v>1586486.4864864864</v>
      </c>
      <c r="L29" s="640">
        <f t="shared" si="0"/>
        <v>1507162.1621621619</v>
      </c>
      <c r="M29" s="699"/>
      <c r="N29" s="637"/>
    </row>
    <row r="30" spans="1:14" s="229" customFormat="1" ht="12" customHeight="1">
      <c r="A30" s="787"/>
      <c r="B30" s="787"/>
      <c r="C30" s="787"/>
      <c r="D30" s="787"/>
      <c r="E30" s="642"/>
      <c r="F30" s="642"/>
      <c r="G30" s="642"/>
      <c r="H30" s="642"/>
      <c r="I30" s="642"/>
      <c r="J30" s="642"/>
      <c r="K30" s="642"/>
      <c r="L30" s="643"/>
      <c r="M30" s="791"/>
    </row>
    <row r="31" spans="1:14" s="229" customFormat="1" ht="24.95" customHeight="1">
      <c r="A31" s="642">
        <f>'TRAFFIC &amp; COMMISSION REPORT'!DY19</f>
        <v>0</v>
      </c>
      <c r="B31" s="647">
        <f>'TRAFFIC &amp; COMMISSION REPORT'!DX59</f>
        <v>0</v>
      </c>
      <c r="C31" s="647">
        <f>'TRAFFIC &amp; COMMISSION REPORT'!EI57</f>
        <v>0</v>
      </c>
      <c r="D31" s="639">
        <f>'TRAFFIC &amp; COMMISSION REPORT'!EI55</f>
        <v>0</v>
      </c>
      <c r="E31" s="639"/>
      <c r="F31" s="639"/>
      <c r="G31" s="639"/>
      <c r="H31" s="639"/>
      <c r="I31" s="639"/>
      <c r="J31" s="639">
        <f>'TRAFFIC &amp; COMMISSION REPORT'!EE67</f>
        <v>0</v>
      </c>
      <c r="K31" s="639">
        <f>G31+H31+I31+J31</f>
        <v>0</v>
      </c>
      <c r="L31" s="640">
        <f t="shared" si="0"/>
        <v>0</v>
      </c>
      <c r="M31" s="791"/>
    </row>
    <row r="32" spans="1:14" s="229" customFormat="1" ht="12" customHeight="1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3"/>
      <c r="M32" s="791"/>
    </row>
    <row r="33" spans="1:13" s="229" customFormat="1" ht="24.95" customHeight="1">
      <c r="A33" s="642">
        <f>'TRAFFIC &amp; COMMISSION REPORT'!EJ19</f>
        <v>0</v>
      </c>
      <c r="B33" s="647">
        <f>'TRAFFIC &amp; COMMISSION REPORT'!DX62</f>
        <v>0</v>
      </c>
      <c r="C33" s="647">
        <f>'TRAFFIC &amp; COMMISSION REPORT'!DB64</f>
        <v>0</v>
      </c>
      <c r="D33" s="639">
        <f>'TRAFFIC &amp; COMMISSION REPORT'!ET55</f>
        <v>0</v>
      </c>
      <c r="E33" s="639"/>
      <c r="F33" s="639"/>
      <c r="G33" s="639"/>
      <c r="H33" s="639"/>
      <c r="I33" s="639"/>
      <c r="J33" s="639">
        <f>'TRAFFIC &amp; COMMISSION REPORT'!EP67</f>
        <v>0</v>
      </c>
      <c r="K33" s="639">
        <f>G33+H33+I33+J33</f>
        <v>0</v>
      </c>
      <c r="L33" s="640">
        <f t="shared" si="0"/>
        <v>0</v>
      </c>
      <c r="M33" s="791"/>
    </row>
    <row r="34" spans="1:13" s="229" customFormat="1" ht="12.95" customHeight="1">
      <c r="A34" s="642"/>
      <c r="B34" s="642"/>
      <c r="C34" s="642"/>
      <c r="D34" s="642"/>
      <c r="E34" s="642"/>
      <c r="F34" s="642"/>
      <c r="G34" s="642"/>
      <c r="H34" s="642"/>
      <c r="I34" s="642"/>
      <c r="J34" s="642"/>
      <c r="K34" s="642"/>
      <c r="L34" s="643"/>
      <c r="M34" s="791"/>
    </row>
    <row r="35" spans="1:13" s="229" customFormat="1" ht="24.95" customHeight="1">
      <c r="A35" s="642"/>
      <c r="B35" s="646">
        <f>'TRAFFIC &amp; COMMISSION REPORT'!DX64</f>
        <v>0</v>
      </c>
      <c r="C35" s="647">
        <f>'TRAFFIC &amp; COMMISSION REPORT'!FP57</f>
        <v>0</v>
      </c>
      <c r="D35" s="639">
        <f>'TRAFFIC &amp; COMMISSION REPORT'!FE55</f>
        <v>0</v>
      </c>
      <c r="E35" s="639"/>
      <c r="F35" s="639"/>
      <c r="G35" s="639"/>
      <c r="H35" s="639"/>
      <c r="I35" s="639"/>
      <c r="J35" s="639">
        <f>'TRAFFIC &amp; COMMISSION REPORT'!FA67</f>
        <v>0</v>
      </c>
      <c r="K35" s="639">
        <f>G35+H35+I35+J35</f>
        <v>0</v>
      </c>
      <c r="L35" s="640"/>
      <c r="M35" s="791"/>
    </row>
    <row r="36" spans="1:13" s="229" customFormat="1" ht="24.95" customHeight="1">
      <c r="A36" s="642"/>
      <c r="B36" s="646"/>
      <c r="C36" s="647"/>
      <c r="D36" s="639"/>
      <c r="E36" s="639"/>
      <c r="F36" s="639"/>
      <c r="G36" s="639"/>
      <c r="H36" s="639"/>
      <c r="I36" s="639"/>
      <c r="J36" s="639">
        <f>'TRAFFIC &amp; COMMISSION REPORT'!EP70</f>
        <v>0</v>
      </c>
      <c r="K36" s="639">
        <f>G36+H36+I36+J36</f>
        <v>0</v>
      </c>
      <c r="L36" s="640"/>
      <c r="M36" s="644"/>
    </row>
    <row r="37" spans="1:13" s="229" customFormat="1" ht="24.95" customHeight="1">
      <c r="A37" s="642"/>
      <c r="B37" s="646"/>
      <c r="C37" s="647"/>
      <c r="D37" s="639"/>
      <c r="E37" s="639"/>
      <c r="F37" s="639"/>
      <c r="G37" s="639"/>
      <c r="H37" s="639"/>
      <c r="I37" s="639"/>
      <c r="J37" s="639">
        <f>'TRAFFIC &amp; COMMISSION REPORT'!EP71</f>
        <v>0</v>
      </c>
      <c r="K37" s="639">
        <f>G37+H37+I37+J37</f>
        <v>0</v>
      </c>
      <c r="L37" s="640"/>
      <c r="M37" s="644"/>
    </row>
    <row r="38" spans="1:13" s="230" customFormat="1" ht="24.95" customHeight="1">
      <c r="A38" s="642" t="s">
        <v>64</v>
      </c>
      <c r="B38" s="648"/>
      <c r="C38" s="648"/>
      <c r="D38" s="639"/>
      <c r="E38" s="639"/>
      <c r="F38" s="639"/>
      <c r="G38" s="639"/>
      <c r="H38" s="639">
        <f>SUM(H15:H37)</f>
        <v>0</v>
      </c>
      <c r="I38" s="639">
        <f>SUM(I9+I11+I13+I15+I17+I19+I21+I23+I25+I27+I29+I31+I33)</f>
        <v>12000000</v>
      </c>
      <c r="J38" s="639">
        <f>SUM(J9+J11+J13+J15+J17+J19+J21+J23+J25+J27+J29+J31)</f>
        <v>203500054.05405402</v>
      </c>
      <c r="K38" s="639">
        <f>SUM(K9+K11+K13+K15+K17+K19+K21+K23+K25+K27+K29+K31)</f>
        <v>217282774.05405402</v>
      </c>
      <c r="L38" s="639">
        <f>SUM(L9+L11+L13+L15+L17+L19+L21+L23+L25+L27+L29+L31)</f>
        <v>206418635.35135129</v>
      </c>
      <c r="M38" s="644"/>
    </row>
    <row r="39" spans="1:13" ht="24.95" customHeight="1">
      <c r="A39" s="220"/>
      <c r="B39" s="226"/>
      <c r="C39" s="221"/>
      <c r="D39" s="222"/>
      <c r="E39" s="222"/>
      <c r="F39" s="222"/>
      <c r="G39" s="222"/>
      <c r="H39" s="222"/>
      <c r="I39" s="222"/>
      <c r="J39" s="222"/>
      <c r="K39" s="222"/>
      <c r="L39" s="222"/>
      <c r="M39" s="219"/>
    </row>
    <row r="40" spans="1:13" ht="24.95" customHeight="1">
      <c r="A40" s="220"/>
      <c r="B40" s="226"/>
      <c r="C40" s="221"/>
      <c r="D40" s="222"/>
      <c r="E40" s="222"/>
      <c r="F40" s="222"/>
      <c r="G40" s="222"/>
      <c r="H40" s="222"/>
      <c r="I40" s="222"/>
      <c r="J40" s="222"/>
      <c r="K40" s="222"/>
      <c r="L40" s="222"/>
      <c r="M40" s="219"/>
    </row>
    <row r="41" spans="1:13" ht="24.95" customHeight="1">
      <c r="A41" s="220" t="s">
        <v>65</v>
      </c>
      <c r="B41" s="226"/>
      <c r="C41" s="221"/>
      <c r="D41" s="222"/>
      <c r="E41" s="222"/>
      <c r="F41" s="222"/>
      <c r="G41" s="222"/>
      <c r="H41" s="222"/>
      <c r="I41" s="222"/>
      <c r="J41" s="222"/>
      <c r="K41" s="222"/>
      <c r="L41" s="222"/>
      <c r="M41" s="219"/>
    </row>
    <row r="42" spans="1:13" ht="24.95" customHeight="1">
      <c r="A42" s="30" t="str">
        <f>A9</f>
        <v>MONIQ</v>
      </c>
      <c r="B42" s="226"/>
      <c r="C42" s="221"/>
      <c r="D42" s="222"/>
      <c r="E42" s="222"/>
      <c r="F42" s="222"/>
      <c r="G42" s="222"/>
      <c r="H42" s="222"/>
      <c r="I42" s="222"/>
      <c r="J42" s="222"/>
      <c r="K42" s="222"/>
      <c r="L42" s="222"/>
      <c r="M42" s="219"/>
    </row>
    <row r="46" spans="1:13" ht="24.95" customHeight="1">
      <c r="G46" s="228"/>
    </row>
    <row r="47" spans="1:13" ht="24.95" customHeight="1">
      <c r="G47" s="228"/>
    </row>
    <row r="48" spans="1:13" ht="24.95" customHeight="1">
      <c r="G48" s="228"/>
    </row>
  </sheetData>
  <sheetProtection selectLockedCells="1" selectUnlockedCells="1"/>
  <mergeCells count="15">
    <mergeCell ref="A1:B1"/>
    <mergeCell ref="A2:B2"/>
    <mergeCell ref="A3:B3"/>
    <mergeCell ref="B6:B8"/>
    <mergeCell ref="N6:N8"/>
    <mergeCell ref="M6:M8"/>
    <mergeCell ref="L6:L8"/>
    <mergeCell ref="E6:G6"/>
    <mergeCell ref="F7:F8"/>
    <mergeCell ref="G7:G8"/>
    <mergeCell ref="C6:C8"/>
    <mergeCell ref="D6:D8"/>
    <mergeCell ref="E7:E8"/>
    <mergeCell ref="A4:B5"/>
    <mergeCell ref="A6:A8"/>
  </mergeCells>
  <conditionalFormatting sqref="B9:B28 B30:B33">
    <cfRule type="cellIs" dxfId="6" priority="3" operator="greaterThan">
      <formula>1</formula>
    </cfRule>
  </conditionalFormatting>
  <conditionalFormatting sqref="B35">
    <cfRule type="cellIs" dxfId="5" priority="2" operator="greaterThan">
      <formula>1</formula>
    </cfRule>
  </conditionalFormatting>
  <conditionalFormatting sqref="B29">
    <cfRule type="cellIs" dxfId="4" priority="1" operator="greaterThan">
      <formula>1</formula>
    </cfRule>
  </conditionalFormatting>
  <pageMargins left="0.78749999999999998" right="0.78749999999999998" top="1.05277777777778" bottom="1.05277777777778" header="0.78749999999999998" footer="0.78749999999999998"/>
  <pageSetup firstPageNumber="0" orientation="portrait" useFirstPageNumber="1" horizontalDpi="300" verticalDpi="300" r:id="rId1"/>
  <headerFooter alignWithMargins="0">
    <oddHeader>&amp;C&amp;"Times New Roman,Regular"&amp;A</oddHeader>
    <oddFooter>&amp;C&amp;"Times New Roman,Regular"Page &amp;P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  <pageSetUpPr fitToPage="1"/>
  </sheetPr>
  <dimension ref="A1:P55"/>
  <sheetViews>
    <sheetView zoomScale="70" zoomScaleNormal="70" zoomScaleSheetLayoutView="10" workbookViewId="0">
      <selection activeCell="N35" sqref="N35"/>
    </sheetView>
  </sheetViews>
  <sheetFormatPr defaultColWidth="7.5" defaultRowHeight="12.95" customHeight="1"/>
  <cols>
    <col min="1" max="1" width="22.5" style="45" customWidth="1"/>
    <col min="2" max="2" width="11.5" style="45" customWidth="1"/>
    <col min="3" max="4" width="13.5" style="45" customWidth="1"/>
    <col min="5" max="5" width="11.375" style="45" customWidth="1"/>
    <col min="6" max="6" width="10.5" style="45" customWidth="1"/>
    <col min="7" max="7" width="15.5" style="46" customWidth="1"/>
    <col min="8" max="8" width="16.125" style="46" bestFit="1" customWidth="1"/>
    <col min="9" max="9" width="16.25" style="45" customWidth="1"/>
    <col min="10" max="10" width="15.75" style="45" customWidth="1"/>
    <col min="11" max="11" width="19.75" style="47" customWidth="1"/>
    <col min="12" max="15" width="7.5" style="45"/>
    <col min="16" max="16384" width="7.5" style="1"/>
  </cols>
  <sheetData>
    <row r="1" spans="1:11" ht="24.6" customHeight="1">
      <c r="A1" s="1132" t="s">
        <v>74</v>
      </c>
      <c r="B1" s="1132"/>
      <c r="C1" s="1132"/>
      <c r="D1" s="44"/>
    </row>
    <row r="2" spans="1:11" ht="16.5" customHeight="1">
      <c r="A2" s="1132"/>
      <c r="B2" s="1132"/>
      <c r="C2" s="1132"/>
      <c r="D2" s="44"/>
    </row>
    <row r="3" spans="1:11" ht="18" customHeight="1">
      <c r="A3" s="48" t="s">
        <v>75</v>
      </c>
      <c r="B3" s="1136">
        <f>DS!B3</f>
        <v>46266</v>
      </c>
      <c r="C3" s="1137"/>
    </row>
    <row r="4" spans="1:11" ht="17.100000000000001" customHeight="1">
      <c r="A4" s="1131"/>
      <c r="B4" s="1131"/>
      <c r="C4" s="1131"/>
    </row>
    <row r="5" spans="1:11" ht="18" customHeight="1">
      <c r="A5" s="172" t="s">
        <v>76</v>
      </c>
      <c r="B5" s="1133" t="str">
        <f>DS!A1</f>
        <v>BVLGARI – Plaza Indonesia</v>
      </c>
      <c r="C5" s="1134"/>
      <c r="D5" s="1134"/>
      <c r="E5" s="1135"/>
    </row>
    <row r="6" spans="1:11" ht="31.35" customHeight="1">
      <c r="A6" s="36"/>
      <c r="B6" s="264" t="s">
        <v>759</v>
      </c>
      <c r="C6" s="36"/>
      <c r="D6" s="36"/>
      <c r="E6" s="264" t="s">
        <v>759</v>
      </c>
      <c r="F6" s="259"/>
      <c r="G6" s="36"/>
      <c r="H6" s="36"/>
      <c r="I6" s="36"/>
      <c r="J6" s="36"/>
      <c r="K6" s="36"/>
    </row>
    <row r="7" spans="1:11" ht="30" customHeight="1">
      <c r="A7" s="49" t="s">
        <v>77</v>
      </c>
      <c r="B7" s="49" t="s">
        <v>78</v>
      </c>
      <c r="C7" s="50" t="s">
        <v>79</v>
      </c>
      <c r="D7" s="50" t="s">
        <v>637</v>
      </c>
      <c r="E7" s="50" t="s">
        <v>80</v>
      </c>
      <c r="F7" s="50" t="s">
        <v>81</v>
      </c>
      <c r="G7" s="51" t="s">
        <v>82</v>
      </c>
      <c r="H7" s="51" t="s">
        <v>83</v>
      </c>
      <c r="I7" s="50" t="s">
        <v>84</v>
      </c>
      <c r="J7" s="50" t="s">
        <v>85</v>
      </c>
      <c r="K7" s="52" t="s">
        <v>86</v>
      </c>
    </row>
    <row r="8" spans="1:11" ht="18" customHeight="1">
      <c r="A8" s="59" t="str">
        <f>Commission!A9</f>
        <v>MONIQ</v>
      </c>
      <c r="B8" s="54" t="s">
        <v>790</v>
      </c>
      <c r="C8" s="55">
        <f>'TRAFFIC &amp; COMMISSION REPORT'!B54</f>
        <v>0</v>
      </c>
      <c r="D8" s="55">
        <f>'TRAFFIC &amp; COMMISSION REPORT'!C54</f>
        <v>0</v>
      </c>
      <c r="E8" s="168">
        <f>COUNTIF(DS!AG:AG,"MM")+COUNTIF(SMI!AF:AF,"MM")+COUNTIF('IN AND OUT'!$AG$7:$AG$27,"MM")</f>
        <v>0</v>
      </c>
      <c r="F8" s="49" t="e">
        <f>E8/C8</f>
        <v>#DIV/0!</v>
      </c>
      <c r="G8" s="57">
        <f>'TRAFFIC &amp; COMMISSION REPORT'!E54</f>
        <v>0</v>
      </c>
      <c r="H8" s="57">
        <f>'TRAFFIC &amp; COMMISSION REPORT'!F54</f>
        <v>0</v>
      </c>
      <c r="I8" s="56" t="e">
        <f t="shared" ref="I8:I16" si="0">(G8-H8)/G8</f>
        <v>#DIV/0!</v>
      </c>
      <c r="J8" s="49">
        <f>'TRAFFIC &amp; COMMISSION REPORT'!D54</f>
        <v>0</v>
      </c>
      <c r="K8" s="169" t="e">
        <f t="shared" ref="K8:K22" si="1">G8/J8</f>
        <v>#DIV/0!</v>
      </c>
    </row>
    <row r="9" spans="1:11" ht="18" customHeight="1">
      <c r="A9" s="59" t="str">
        <f>Commission!A11</f>
        <v>HERDY</v>
      </c>
      <c r="B9" s="54" t="s">
        <v>796</v>
      </c>
      <c r="C9" s="60">
        <f>'TRAFFIC &amp; COMMISSION REPORT'!M54</f>
        <v>21</v>
      </c>
      <c r="D9" s="60">
        <f>'TRAFFIC &amp; COMMISSION REPORT'!N54</f>
        <v>16</v>
      </c>
      <c r="E9" s="168">
        <f>COUNTIF(DS!AG:AG,"HS")+COUNTIF(SMI!AF:AF,"HS")+COUNTIF('IN AND OUT'!$AG$7:$AG$27,"HS")</f>
        <v>4</v>
      </c>
      <c r="F9" s="56">
        <f t="shared" ref="F9:F22" si="2">E9/C9</f>
        <v>0.19047619047619047</v>
      </c>
      <c r="G9" s="61">
        <f>'TRAFFIC &amp; COMMISSION REPORT'!P54</f>
        <v>744300000</v>
      </c>
      <c r="H9" s="61">
        <f>'TRAFFIC &amp; COMMISSION REPORT'!Q54</f>
        <v>744300000</v>
      </c>
      <c r="I9" s="56">
        <f t="shared" si="0"/>
        <v>0</v>
      </c>
      <c r="J9" s="49">
        <f>'TRAFFIC &amp; COMMISSION REPORT'!O54</f>
        <v>5</v>
      </c>
      <c r="K9" s="58">
        <f t="shared" si="1"/>
        <v>148860000</v>
      </c>
    </row>
    <row r="10" spans="1:11" ht="18" customHeight="1">
      <c r="A10" s="59" t="str">
        <f>Commission!A13</f>
        <v>AJENG</v>
      </c>
      <c r="B10" s="54" t="s">
        <v>775</v>
      </c>
      <c r="C10" s="60">
        <f>'TRAFFIC &amp; COMMISSION REPORT'!X54</f>
        <v>24</v>
      </c>
      <c r="D10" s="60">
        <f>'TRAFFIC &amp; COMMISSION REPORT'!Y54</f>
        <v>20</v>
      </c>
      <c r="E10" s="168">
        <f>COUNTIF(DS!AG:AG,"AJ")+COUNTIF(SMI!AF:AF,"AJ")+COUNTIF('IN AND OUT'!$AG$7:$AG$27,"AJ")</f>
        <v>6</v>
      </c>
      <c r="F10" s="56">
        <f t="shared" si="2"/>
        <v>0.25</v>
      </c>
      <c r="G10" s="61">
        <f>'TRAFFIC &amp; COMMISSION REPORT'!AA54</f>
        <v>612900000</v>
      </c>
      <c r="H10" s="61">
        <f>'TRAFFIC &amp; COMMISSION REPORT'!AB54</f>
        <v>612900000</v>
      </c>
      <c r="I10" s="56">
        <f t="shared" si="0"/>
        <v>0</v>
      </c>
      <c r="J10" s="49">
        <f>'TRAFFIC &amp; COMMISSION REPORT'!Z54</f>
        <v>6</v>
      </c>
      <c r="K10" s="58">
        <f t="shared" si="1"/>
        <v>102150000</v>
      </c>
    </row>
    <row r="11" spans="1:11" ht="18" customHeight="1">
      <c r="A11" s="59" t="str">
        <f>Commission!A15</f>
        <v>SYANDY</v>
      </c>
      <c r="B11" s="54" t="s">
        <v>766</v>
      </c>
      <c r="C11" s="60">
        <f>'TRAFFIC &amp; COMMISSION REPORT'!AK54</f>
        <v>14</v>
      </c>
      <c r="D11" s="60">
        <f>'TRAFFIC &amp; COMMISSION REPORT'!AL54</f>
        <v>9</v>
      </c>
      <c r="E11" s="168">
        <f>COUNTIF(DS!AG:AG,"SD")+COUNTIF(SMI!AF:AF,"SD")+COUNTIF('IN AND OUT'!$AG$7:$AG$27,"SD")</f>
        <v>4</v>
      </c>
      <c r="F11" s="56">
        <f t="shared" si="2"/>
        <v>0.2857142857142857</v>
      </c>
      <c r="G11" s="61">
        <f>'TRAFFIC &amp; COMMISSION REPORT'!AN54</f>
        <v>1909200000</v>
      </c>
      <c r="H11" s="61">
        <f>'TRAFFIC &amp; COMMISSION REPORT'!AO54</f>
        <v>1743590000</v>
      </c>
      <c r="I11" s="56">
        <f t="shared" si="0"/>
        <v>8.6743138487324539E-2</v>
      </c>
      <c r="J11" s="49">
        <f>'TRAFFIC &amp; COMMISSION REPORT'!AM54</f>
        <v>5</v>
      </c>
      <c r="K11" s="58">
        <f t="shared" si="1"/>
        <v>381840000</v>
      </c>
    </row>
    <row r="12" spans="1:11" ht="18" customHeight="1">
      <c r="A12" s="59" t="str">
        <f>Commission!A17</f>
        <v>SISKA (VIP CA)</v>
      </c>
      <c r="B12" s="54" t="s">
        <v>767</v>
      </c>
      <c r="C12" s="60">
        <f>'TRAFFIC &amp; COMMISSION REPORT'!AV54</f>
        <v>21</v>
      </c>
      <c r="D12" s="60">
        <f>'TRAFFIC &amp; COMMISSION REPORT'!AW54</f>
        <v>15</v>
      </c>
      <c r="E12" s="168">
        <f>COUNTIF(DS!AG:AG,"SK")+COUNTIF(SMI!AF:AF,"SK")+COUNTIF('IN AND OUT'!$AG$7:$AG$27,"SK")</f>
        <v>7</v>
      </c>
      <c r="F12" s="56">
        <f t="shared" si="2"/>
        <v>0.33333333333333331</v>
      </c>
      <c r="G12" s="61">
        <f>'TRAFFIC &amp; COMMISSION REPORT'!AY54</f>
        <v>1844500000</v>
      </c>
      <c r="H12" s="61">
        <f>'TRAFFIC &amp; COMMISSION REPORT'!AZ54</f>
        <v>1844500000</v>
      </c>
      <c r="I12" s="56">
        <f t="shared" si="0"/>
        <v>0</v>
      </c>
      <c r="J12" s="49">
        <f>'TRAFFIC &amp; COMMISSION REPORT'!AX54</f>
        <v>13</v>
      </c>
      <c r="K12" s="58">
        <f t="shared" si="1"/>
        <v>141884615.38461539</v>
      </c>
    </row>
    <row r="13" spans="1:11" ht="18" customHeight="1">
      <c r="A13" s="59" t="str">
        <f>Commission!A19</f>
        <v>DIAN</v>
      </c>
      <c r="B13" s="54" t="s">
        <v>769</v>
      </c>
      <c r="C13" s="60">
        <f>'TRAFFIC &amp; COMMISSION REPORT'!BK54</f>
        <v>26</v>
      </c>
      <c r="D13" s="60">
        <f>'TRAFFIC &amp; COMMISSION REPORT'!BL54</f>
        <v>23</v>
      </c>
      <c r="E13" s="168">
        <f>COUNTIF(DS!AG:AG,"DP")+COUNTIF(SMI!AF:AF,"DP")+COUNTIF('IN AND OUT'!$AG$7:$AG$27,"DP")</f>
        <v>7</v>
      </c>
      <c r="F13" s="56">
        <f t="shared" si="2"/>
        <v>0.26923076923076922</v>
      </c>
      <c r="G13" s="61">
        <f>'TRAFFIC &amp; COMMISSION REPORT'!BN54</f>
        <v>1274300000</v>
      </c>
      <c r="H13" s="61">
        <f>'TRAFFIC &amp; COMMISSION REPORT'!BO54</f>
        <v>1274300000</v>
      </c>
      <c r="I13" s="56">
        <f t="shared" si="0"/>
        <v>0</v>
      </c>
      <c r="J13" s="49">
        <f>'TRAFFIC &amp; COMMISSION REPORT'!BM54</f>
        <v>7</v>
      </c>
      <c r="K13" s="58">
        <f t="shared" si="1"/>
        <v>182042857.14285713</v>
      </c>
    </row>
    <row r="14" spans="1:11" ht="18" customHeight="1">
      <c r="A14" s="59" t="str">
        <f>Commission!A21</f>
        <v>IRMA</v>
      </c>
      <c r="B14" s="54" t="s">
        <v>768</v>
      </c>
      <c r="C14" s="60">
        <f>'TRAFFIC &amp; COMMISSION REPORT'!BV54</f>
        <v>22</v>
      </c>
      <c r="D14" s="60">
        <f>'TRAFFIC &amp; COMMISSION REPORT'!BW54</f>
        <v>17</v>
      </c>
      <c r="E14" s="168">
        <f>COUNTIF(DS!AG:AG,"IR")+COUNTIF(SMI!AF:AF,"IR")+COUNTIF('IN AND OUT'!$AG$7:$AG$27,"IR")</f>
        <v>5</v>
      </c>
      <c r="F14" s="56">
        <f t="shared" si="2"/>
        <v>0.22727272727272727</v>
      </c>
      <c r="G14" s="61">
        <f>'TRAFFIC &amp; COMMISSION REPORT'!BY54</f>
        <v>627220000</v>
      </c>
      <c r="H14" s="61">
        <f>'TRAFFIC &amp; COMMISSION REPORT'!BZ54</f>
        <v>627220000</v>
      </c>
      <c r="I14" s="56">
        <f t="shared" si="0"/>
        <v>0</v>
      </c>
      <c r="J14" s="49">
        <f>'TRAFFIC &amp; COMMISSION REPORT'!BX54</f>
        <v>6</v>
      </c>
      <c r="K14" s="58">
        <f t="shared" si="1"/>
        <v>104536666.66666667</v>
      </c>
    </row>
    <row r="15" spans="1:11" ht="18" customHeight="1">
      <c r="A15" s="59" t="str">
        <f>Commission!A23</f>
        <v>JOJO</v>
      </c>
      <c r="B15" s="54" t="s">
        <v>778</v>
      </c>
      <c r="C15" s="62">
        <f>'TRAFFIC &amp; COMMISSION REPORT'!CG54</f>
        <v>18</v>
      </c>
      <c r="D15" s="62">
        <f>'TRAFFIC &amp; COMMISSION REPORT'!CH54</f>
        <v>17</v>
      </c>
      <c r="E15" s="168">
        <f>COUNTIF(DS!AG:AG,"JJ")+COUNTIF(SMI!AF:AF,"JJ")+COUNTIF('IN AND OUT'!$AG$7:$AG$27,"JJ")</f>
        <v>8</v>
      </c>
      <c r="F15" s="56">
        <f t="shared" si="2"/>
        <v>0.44444444444444442</v>
      </c>
      <c r="G15" s="61">
        <f>'TRAFFIC &amp; COMMISSION REPORT'!CJ54</f>
        <v>2821300000</v>
      </c>
      <c r="H15" s="61">
        <f>'TRAFFIC &amp; COMMISSION REPORT'!CK54</f>
        <v>2614015000</v>
      </c>
      <c r="I15" s="56">
        <f t="shared" si="0"/>
        <v>7.3471449331868291E-2</v>
      </c>
      <c r="J15" s="49">
        <f>'TRAFFIC &amp; COMMISSION REPORT'!CI54</f>
        <v>8</v>
      </c>
      <c r="K15" s="58">
        <f t="shared" si="1"/>
        <v>352662500</v>
      </c>
    </row>
    <row r="16" spans="1:11" ht="18" customHeight="1">
      <c r="A16" s="59" t="str">
        <f>Commission!A25</f>
        <v>ARI</v>
      </c>
      <c r="B16" s="54" t="s">
        <v>786</v>
      </c>
      <c r="C16" s="60">
        <f>'TRAFFIC &amp; COMMISSION REPORT'!CR54</f>
        <v>19</v>
      </c>
      <c r="D16" s="60">
        <f>'TRAFFIC &amp; COMMISSION REPORT'!CS54</f>
        <v>15</v>
      </c>
      <c r="E16" s="168">
        <f>COUNTIF(DS!AG:AG,"AK")+COUNTIF(SMI!AF:AF,"AK")+COUNTIF('IN AND OUT'!$AG$7:$AG$27,"AK")</f>
        <v>4</v>
      </c>
      <c r="F16" s="56">
        <f t="shared" si="2"/>
        <v>0.21052631578947367</v>
      </c>
      <c r="G16" s="57">
        <f>'TRAFFIC &amp; COMMISSION REPORT'!CU54</f>
        <v>276520000</v>
      </c>
      <c r="H16" s="57">
        <f>'TRAFFIC &amp; COMMISSION REPORT'!CV54</f>
        <v>276520000</v>
      </c>
      <c r="I16" s="56">
        <f t="shared" si="0"/>
        <v>0</v>
      </c>
      <c r="J16" s="49">
        <f>'TRAFFIC &amp; COMMISSION REPORT'!CT54</f>
        <v>4</v>
      </c>
      <c r="K16" s="58">
        <f t="shared" si="1"/>
        <v>69130000</v>
      </c>
    </row>
    <row r="17" spans="1:16" ht="18" customHeight="1">
      <c r="A17" s="59" t="str">
        <f>Commission!A27</f>
        <v>ALVIN</v>
      </c>
      <c r="B17" s="54" t="s">
        <v>781</v>
      </c>
      <c r="C17" s="60">
        <f>'TRAFFIC &amp; COMMISSION REPORT'!DC54</f>
        <v>33</v>
      </c>
      <c r="D17" s="60">
        <f>'TRAFFIC &amp; COMMISSION REPORT'!DD54</f>
        <v>29</v>
      </c>
      <c r="E17" s="168">
        <f>COUNTIF(DS!AG:AG,"AL")+COUNTIF(SMI!AF:AF,"AL")+COUNTIF('IN AND OUT'!$AG$7:$AG$27,"AL")</f>
        <v>8</v>
      </c>
      <c r="F17" s="56">
        <f t="shared" si="2"/>
        <v>0.24242424242424243</v>
      </c>
      <c r="G17" s="57">
        <f>'TRAFFIC &amp; COMMISSION REPORT'!DF54</f>
        <v>840600000</v>
      </c>
      <c r="H17" s="57">
        <f>'TRAFFIC &amp; COMMISSION REPORT'!DG54</f>
        <v>840600000</v>
      </c>
      <c r="I17" s="56">
        <v>0</v>
      </c>
      <c r="J17" s="49">
        <f>'TRAFFIC &amp; COMMISSION REPORT'!DE54</f>
        <v>9</v>
      </c>
      <c r="K17" s="58">
        <f t="shared" si="1"/>
        <v>93400000</v>
      </c>
    </row>
    <row r="18" spans="1:16" ht="18" customHeight="1">
      <c r="A18" s="59"/>
      <c r="B18" s="54"/>
      <c r="C18" s="60">
        <f>'TRAFFIC &amp; COMMISSION REPORT'!DN54</f>
        <v>1</v>
      </c>
      <c r="D18" s="60">
        <f>'TRAFFIC &amp; COMMISSION REPORT'!DO54</f>
        <v>1</v>
      </c>
      <c r="E18" s="168">
        <f>COUNTIF(DS!AG:AG,"IM")+COUNTIF(SMI!AF:AF,"IM")+COUNTIF('IN AND OUT'!$AG$7:$AG$27,"IM")</f>
        <v>0</v>
      </c>
      <c r="F18" s="56">
        <f t="shared" si="2"/>
        <v>0</v>
      </c>
      <c r="G18" s="57">
        <f>'TRAFFIC &amp; COMMISSION REPORT'!DQ54</f>
        <v>58700000</v>
      </c>
      <c r="H18" s="57">
        <f>'TRAFFIC &amp; COMMISSION REPORT'!DR54</f>
        <v>58700000</v>
      </c>
      <c r="I18" s="56">
        <v>0</v>
      </c>
      <c r="J18" s="49">
        <f>'TRAFFIC &amp; COMMISSION REPORT'!DP54</f>
        <v>1</v>
      </c>
      <c r="K18" s="58">
        <f t="shared" si="1"/>
        <v>58700000</v>
      </c>
    </row>
    <row r="19" spans="1:16" ht="18" customHeight="1">
      <c r="A19" s="63">
        <f>'TRAFFIC &amp; COMMISSION REPORT'!DY19</f>
        <v>0</v>
      </c>
      <c r="B19" s="54"/>
      <c r="C19" s="60">
        <f>'TRAFFIC &amp; COMMISSION REPORT'!DY54</f>
        <v>0</v>
      </c>
      <c r="D19" s="60">
        <f>'TRAFFIC &amp; COMMISSION REPORT'!DZ54</f>
        <v>0</v>
      </c>
      <c r="E19" s="168">
        <f>COUNTIF(DS!AG:AG,"BD")+COUNTIF(SMI!AF:AF,"BD")+COUNTIF('IN AND OUT'!$AG$7:$AG$27,"BD")</f>
        <v>0</v>
      </c>
      <c r="F19" s="56" t="e">
        <f t="shared" si="2"/>
        <v>#DIV/0!</v>
      </c>
      <c r="G19" s="57">
        <f>'TRAFFIC &amp; COMMISSION REPORT'!EB54</f>
        <v>0</v>
      </c>
      <c r="H19" s="57">
        <f>'TRAFFIC &amp; COMMISSION REPORT'!EC54</f>
        <v>0</v>
      </c>
      <c r="I19" s="56">
        <v>0</v>
      </c>
      <c r="J19" s="49">
        <f>'TRAFFIC &amp; COMMISSION REPORT'!EA54</f>
        <v>0</v>
      </c>
      <c r="K19" s="58" t="e">
        <f t="shared" si="1"/>
        <v>#DIV/0!</v>
      </c>
    </row>
    <row r="20" spans="1:16" ht="18" customHeight="1">
      <c r="A20" s="63">
        <f>'TRAFFIC &amp; COMMISSION REPORT'!EJ19</f>
        <v>0</v>
      </c>
      <c r="B20" s="54"/>
      <c r="C20" s="60">
        <f>'TRAFFIC &amp; COMMISSION REPORT'!EJ54</f>
        <v>0</v>
      </c>
      <c r="D20" s="60">
        <f>'TRAFFIC &amp; COMMISSION REPORT'!EK54</f>
        <v>0</v>
      </c>
      <c r="E20" s="168">
        <f>COUNTIF(DS!AG:AG,"DN")+COUNTIF(SMI!AF:AF,"DN")+COUNTIF('IN AND OUT'!$AG$7:$AG$27,"DN")</f>
        <v>0</v>
      </c>
      <c r="F20" s="56" t="e">
        <f t="shared" si="2"/>
        <v>#DIV/0!</v>
      </c>
      <c r="G20" s="57">
        <f>'TRAFFIC &amp; COMMISSION REPORT'!EM54</f>
        <v>0</v>
      </c>
      <c r="H20" s="57">
        <f>'TRAFFIC &amp; COMMISSION REPORT'!EN54</f>
        <v>0</v>
      </c>
      <c r="I20" s="56">
        <v>0</v>
      </c>
      <c r="J20" s="49">
        <f>'TRAFFIC &amp; COMMISSION REPORT'!EL54</f>
        <v>0</v>
      </c>
      <c r="K20" s="58" t="e">
        <f t="shared" si="1"/>
        <v>#DIV/0!</v>
      </c>
    </row>
    <row r="21" spans="1:16" ht="18" customHeight="1">
      <c r="A21" s="693">
        <f>'TRAFFIC &amp; COMMISSION REPORT'!EU19</f>
        <v>0</v>
      </c>
      <c r="B21" s="694"/>
      <c r="C21" s="60">
        <f>'TRAFFIC &amp; COMMISSION REPORT'!EU54</f>
        <v>0</v>
      </c>
      <c r="D21" s="60">
        <f>'TRAFFIC &amp; COMMISSION REPORT'!EV54</f>
        <v>0</v>
      </c>
      <c r="E21" s="168">
        <f>COUNTIF(DS!AG:AG,"FA")+COUNTIF(SMI!AF:AF,"FA")+COUNTIF('IN AND OUT'!$AG$7:$AG$27,"FA")</f>
        <v>0</v>
      </c>
      <c r="F21" s="56" t="e">
        <f t="shared" si="2"/>
        <v>#DIV/0!</v>
      </c>
      <c r="G21" s="57">
        <f>'TRAFFIC &amp; COMMISSION REPORT'!EX54</f>
        <v>0</v>
      </c>
      <c r="H21" s="57">
        <f>'TRAFFIC &amp; COMMISSION REPORT'!EY54</f>
        <v>0</v>
      </c>
      <c r="I21" s="56">
        <v>0</v>
      </c>
      <c r="J21" s="49">
        <f>'TRAFFIC &amp; COMMISSION REPORT'!EW54</f>
        <v>0</v>
      </c>
      <c r="K21" s="58" t="e">
        <f t="shared" si="1"/>
        <v>#DIV/0!</v>
      </c>
      <c r="L21" s="692"/>
      <c r="M21" s="692"/>
      <c r="N21" s="692"/>
      <c r="O21" s="692"/>
    </row>
    <row r="22" spans="1:16" ht="18" customHeight="1">
      <c r="A22" s="693">
        <f>'TRAFFIC &amp; COMMISSION REPORT'!FF19</f>
        <v>0</v>
      </c>
      <c r="B22" s="694"/>
      <c r="C22" s="60">
        <f>'TRAFFIC &amp; COMMISSION REPORT'!FF54</f>
        <v>0</v>
      </c>
      <c r="D22" s="60">
        <f>'TRAFFIC &amp; COMMISSION REPORT'!FG54</f>
        <v>0</v>
      </c>
      <c r="E22" s="168">
        <f>COUNTIF(DS!AG:AG,"DN")+COUNTIF(SMI!AF:AF,"DN")+COUNTIF('IN AND OUT'!$AG$7:$AG$27,"DN")</f>
        <v>0</v>
      </c>
      <c r="F22" s="56" t="e">
        <f t="shared" si="2"/>
        <v>#DIV/0!</v>
      </c>
      <c r="G22" s="57">
        <f>'TRAFFIC &amp; COMMISSION REPORT'!FK54</f>
        <v>0</v>
      </c>
      <c r="H22" s="57">
        <f>'TRAFFIC &amp; COMMISSION REPORT'!FJ54</f>
        <v>0</v>
      </c>
      <c r="I22" s="56">
        <v>0</v>
      </c>
      <c r="J22" s="49">
        <f>'TRAFFIC &amp; COMMISSION REPORT'!FH54</f>
        <v>0</v>
      </c>
      <c r="K22" s="58" t="e">
        <f t="shared" si="1"/>
        <v>#DIV/0!</v>
      </c>
      <c r="L22" s="692"/>
      <c r="M22" s="692"/>
      <c r="N22" s="692"/>
      <c r="O22" s="692"/>
    </row>
    <row r="23" spans="1:16" ht="21.75" customHeight="1">
      <c r="A23" s="59" t="s">
        <v>20</v>
      </c>
      <c r="B23" s="49"/>
      <c r="C23" s="327">
        <f>SUM(C8:C22)</f>
        <v>199</v>
      </c>
      <c r="D23" s="327">
        <f>SUM(D8:D22)</f>
        <v>162</v>
      </c>
      <c r="E23" s="54">
        <f>SUM(E8:E22)</f>
        <v>53</v>
      </c>
      <c r="F23" s="64">
        <f>E23/C23</f>
        <v>0.26633165829145727</v>
      </c>
      <c r="G23" s="58">
        <f>SUM(G8:G22)</f>
        <v>11009540000</v>
      </c>
      <c r="H23" s="58">
        <f>SUM(H8:H22)</f>
        <v>10636645000</v>
      </c>
      <c r="I23" s="64">
        <f>(G23-H23)/G23</f>
        <v>3.3870170779160616E-2</v>
      </c>
      <c r="J23" s="54">
        <f>SUM(J8:J22)</f>
        <v>64</v>
      </c>
      <c r="K23" s="698">
        <f>H23/J23</f>
        <v>166197578.125</v>
      </c>
    </row>
    <row r="24" spans="1:16" ht="12" customHeight="1"/>
    <row r="25" spans="1:16" ht="12" customHeight="1"/>
    <row r="26" spans="1:16" ht="18.75" customHeight="1">
      <c r="A26" s="102" t="s">
        <v>756</v>
      </c>
    </row>
    <row r="27" spans="1:16" ht="30">
      <c r="A27" s="65" t="s">
        <v>77</v>
      </c>
      <c r="B27" s="65" t="s">
        <v>593</v>
      </c>
      <c r="C27" s="66" t="s">
        <v>594</v>
      </c>
      <c r="D27" s="66" t="s">
        <v>639</v>
      </c>
      <c r="E27" s="66" t="s">
        <v>641</v>
      </c>
      <c r="F27" s="66" t="s">
        <v>640</v>
      </c>
      <c r="G27" s="45"/>
      <c r="I27" s="46"/>
      <c r="K27" s="45"/>
      <c r="L27" s="47"/>
      <c r="P27" s="45"/>
    </row>
    <row r="28" spans="1:16" ht="18.75" customHeight="1">
      <c r="A28" s="53" t="str">
        <f t="shared" ref="A28:A35" si="3">A8</f>
        <v>MONIQ</v>
      </c>
      <c r="B28" s="67">
        <f>COUNTIFS(DS!AG:AG,B8,DS!I:I,"1")+COUNTIFS(SMI!AF:AF,B8,SMI!I:I,"1")+COUNTIFS('IN AND OUT'!$AG$9:$AG$27,B8,'IN AND OUT'!$I$9:$I$27,"1")</f>
        <v>0</v>
      </c>
      <c r="C28" s="67">
        <f>COUNTIFS(DS!AG:AG,B8,DS!J:J,"1")+COUNTIFS(SMI!AF:AF,B8,SMI!J:J,"1")+COUNTIFS('IN AND OUT'!$AG$9:$AG$27,B8,'IN AND OUT'!$J$9:$J$27,"1")</f>
        <v>0</v>
      </c>
      <c r="D28" s="67">
        <f>B28+C28</f>
        <v>0</v>
      </c>
      <c r="E28" s="67">
        <f>COUNTIFS(DS!AG:AG,B8,DS!G:G,"1")+COUNTIFS(SMI!AF:AF,B8,SMI!G:G,"1")+COUNTIFS('IN AND OUT'!$AG$9:$AG$27,B8,'IN AND OUT'!$G$9:$G$27,"1")</f>
        <v>0</v>
      </c>
      <c r="F28" s="67">
        <f>COUNTIFS(DS!AG:AG,B8,DS!H:H,"1")+COUNTIFS(SMI!AF:AF,B8,SMI!H:H,"1")+COUNTIFS('IN AND OUT'!$AG$9:$AG$27,B8,'IN AND OUT'!$H$9:$H$27,"1")</f>
        <v>0</v>
      </c>
      <c r="G28" s="45"/>
      <c r="H28" s="41"/>
      <c r="I28" s="46"/>
      <c r="K28" s="45"/>
      <c r="L28" s="47"/>
      <c r="P28" s="45"/>
    </row>
    <row r="29" spans="1:16" ht="18.75" customHeight="1">
      <c r="A29" s="59" t="str">
        <f t="shared" si="3"/>
        <v>HERDY</v>
      </c>
      <c r="B29" s="67">
        <f>COUNTIFS(DS!AG:AG,B9,DS!I:I,"1")+COUNTIFS(SMI!AF:AF,B9,SMI!I:I,"1")+COUNTIFS('IN AND OUT'!$AG$9:$AG$27,B9,'IN AND OUT'!$I$9:$I$27,"1")</f>
        <v>1</v>
      </c>
      <c r="C29" s="67">
        <f>COUNTIFS(DS!AG:AG,B9,DS!J:J,"1")+COUNTIFS(SMI!AF:AF,B9,SMI!J:J,"1")+COUNTIFS('IN AND OUT'!$AG$9:$AG$27,B9,'IN AND OUT'!$J$9:$J$27,"1")</f>
        <v>3</v>
      </c>
      <c r="D29" s="67">
        <f t="shared" ref="D29:D43" si="4">B29+C29</f>
        <v>4</v>
      </c>
      <c r="E29" s="67">
        <f>COUNTIFS(DS!AG:AG,B9,DS!G:G,"1")+COUNTIFS(SMI!AF:AF,B9,SMI!G:G,"1")+COUNTIFS('IN AND OUT'!$AG$9:$AG$27,B9,'IN AND OUT'!$G$9:$G$27,"1")</f>
        <v>1</v>
      </c>
      <c r="F29" s="67">
        <f>COUNTIFS(DS!AG:AG,B9,DS!H:H,"1")+COUNTIFS(SMI!AF:AF,B9,SMI!H:H,"1")+COUNTIFS('IN AND OUT'!$AG$9:$AG$27,B9,'IN AND OUT'!$H$9:$H$27,"1")</f>
        <v>3</v>
      </c>
      <c r="G29" s="45"/>
      <c r="H29" s="41"/>
      <c r="I29" s="46"/>
      <c r="K29" s="45"/>
      <c r="L29" s="47"/>
      <c r="P29" s="45"/>
    </row>
    <row r="30" spans="1:16" ht="18.75" customHeight="1">
      <c r="A30" s="59" t="str">
        <f t="shared" si="3"/>
        <v>AJENG</v>
      </c>
      <c r="B30" s="67">
        <f>COUNTIFS(DS!AG:AG,B10,DS!I:I,"1")+COUNTIFS(SMI!AF:AF,B10,SMI!I:I,"1")+COUNTIFS('IN AND OUT'!$AG$9:$AG$27,B10,'IN AND OUT'!$I$9:$I$27,"1")</f>
        <v>2</v>
      </c>
      <c r="C30" s="67">
        <f>COUNTIFS(DS!AG:AG,B10,DS!J:J,"1")+COUNTIFS(SMI!AF:AF,B10,SMI!J:J,"1")+COUNTIFS('IN AND OUT'!$AG$9:$AG$27,B10,'IN AND OUT'!$J$9:$J$27,"1")</f>
        <v>4</v>
      </c>
      <c r="D30" s="67">
        <f t="shared" si="4"/>
        <v>6</v>
      </c>
      <c r="E30" s="67">
        <f>COUNTIFS(DS!AG:AG,B10,DS!G:G,"1")+COUNTIFS(SMI!AF:AF,B10,SMI!G:G,"1")+COUNTIFS('IN AND OUT'!$AG$9:$AG$27,B10,'IN AND OUT'!$G$9:$G$27,"1")</f>
        <v>2</v>
      </c>
      <c r="F30" s="67">
        <f>COUNTIFS(DS!AG:AG,B10,DS!H:H,"1")+COUNTIFS(SMI!AF:AF,B10,SMI!H:H,"1")+COUNTIFS('IN AND OUT'!$AG$9:$AG$27,B10,'IN AND OUT'!$H$9:$H$27,"1")</f>
        <v>4</v>
      </c>
      <c r="G30" s="45"/>
      <c r="H30" s="41"/>
      <c r="I30" s="46"/>
      <c r="K30" s="45"/>
      <c r="L30" s="47"/>
      <c r="P30" s="45"/>
    </row>
    <row r="31" spans="1:16" ht="18.75" customHeight="1">
      <c r="A31" s="59" t="str">
        <f t="shared" si="3"/>
        <v>SYANDY</v>
      </c>
      <c r="B31" s="67">
        <f>COUNTIFS(DS!AG:AG,B11,DS!I:I,"1")+COUNTIFS(SMI!AF:AF,B11,SMI!I:I,"1")+COUNTIFS('IN AND OUT'!$AG$9:$AG$27,B11,'IN AND OUT'!$I$9:$I$27,"1")</f>
        <v>0</v>
      </c>
      <c r="C31" s="67">
        <f>COUNTIFS(DS!AG:AG,B11,DS!J:J,"1")+COUNTIFS(SMI!AF:AF,B11,SMI!J:J,"1")+COUNTIFS('IN AND OUT'!$AG$9:$AG$27,B11,'IN AND OUT'!$J$9:$J$27,"1")</f>
        <v>4</v>
      </c>
      <c r="D31" s="67">
        <f t="shared" si="4"/>
        <v>4</v>
      </c>
      <c r="E31" s="67">
        <f>COUNTIFS(DS!AG:AG,B11,DS!G:G,"1")+COUNTIFS(SMI!AF:AF,B11,SMI!G:G,"1")+COUNTIFS('IN AND OUT'!$AG$9:$AG$27,B11,'IN AND OUT'!$G$9:$G$27,"1")</f>
        <v>0</v>
      </c>
      <c r="F31" s="67">
        <f>COUNTIFS(DS!AG:AG,B11,DS!H:H,"1")+COUNTIFS(SMI!AF:AF,B11,SMI!H:H,"1")+COUNTIFS('IN AND OUT'!$AG$9:$AG$27,B11,'IN AND OUT'!$H$9:$H$27,"1")</f>
        <v>4</v>
      </c>
      <c r="G31" s="45"/>
      <c r="H31" s="41"/>
      <c r="I31" s="46"/>
      <c r="K31" s="45"/>
      <c r="L31" s="47"/>
      <c r="P31" s="45"/>
    </row>
    <row r="32" spans="1:16" ht="18.75" customHeight="1">
      <c r="A32" s="59" t="str">
        <f t="shared" si="3"/>
        <v>SISKA (VIP CA)</v>
      </c>
      <c r="B32" s="67">
        <f>COUNTIFS(DS!AG:AG,B12,DS!I:I,"1")+COUNTIFS(SMI!AF:AF,B12,SMI!I:I,"1")+COUNTIFS('IN AND OUT'!$AG$9:$AG$27,B12,'IN AND OUT'!$I$9:$I$27,"1")</f>
        <v>4</v>
      </c>
      <c r="C32" s="67">
        <f>COUNTIFS(DS!AG:AG,B12,DS!J:J,"1")+COUNTIFS(SMI!AF:AF,B12,SMI!J:J,"1")+COUNTIFS('IN AND OUT'!$AG$9:$AG$27,B12,'IN AND OUT'!$J$9:$J$27,"1")</f>
        <v>3</v>
      </c>
      <c r="D32" s="67">
        <f t="shared" si="4"/>
        <v>7</v>
      </c>
      <c r="E32" s="67">
        <f>COUNTIFS(DS!AG:AG,B12,DS!G:G,"1")+COUNTIFS(SMI!AF:AF,B12,SMI!G:G,"1")+COUNTIFS('IN AND OUT'!$AG$9:$AG$27,B12,'IN AND OUT'!$G$9:$G$27,"1")</f>
        <v>5</v>
      </c>
      <c r="F32" s="67">
        <f>COUNTIFS(DS!AG:AG,B12,DS!H:H,"1")+COUNTIFS(SMI!AF:AF,B12,SMI!H:H,"1")+COUNTIFS('IN AND OUT'!$AG$9:$AG$27,B12,'IN AND OUT'!$H$9:$H$27,"1")</f>
        <v>2</v>
      </c>
      <c r="G32" s="45"/>
      <c r="H32" s="41"/>
      <c r="I32" s="46"/>
      <c r="K32" s="45"/>
      <c r="L32" s="47"/>
      <c r="P32" s="45"/>
    </row>
    <row r="33" spans="1:16" ht="18.75" customHeight="1">
      <c r="A33" s="59" t="str">
        <f t="shared" si="3"/>
        <v>DIAN</v>
      </c>
      <c r="B33" s="67">
        <f>COUNTIFS(DS!AG:AG,B13,DS!I:I,"1")+COUNTIFS(SMI!AF:AF,B13,SMI!I:I,"1")+COUNTIFS('IN AND OUT'!$AG$9:$AG$27,B13,'IN AND OUT'!$I$9:$I$27,"1")</f>
        <v>4</v>
      </c>
      <c r="C33" s="67">
        <f>COUNTIFS(DS!AG:AG,B13,DS!J:J,"1")+COUNTIFS(SMI!AF:AF,B13,SMI!J:J,"1")+COUNTIFS('IN AND OUT'!$AG$9:$AG$27,B13,'IN AND OUT'!$J$9:$J$27,"1")</f>
        <v>3</v>
      </c>
      <c r="D33" s="67">
        <f t="shared" si="4"/>
        <v>7</v>
      </c>
      <c r="E33" s="67">
        <f>COUNTIFS(DS!AG:AG,B13,DS!G:G,"1")+COUNTIFS(SMI!AF:AF,B13,SMI!G:G,"1")+COUNTIFS('IN AND OUT'!$AG$9:$AG$27,B13,'IN AND OUT'!$G$9:$G$27,"1")</f>
        <v>4</v>
      </c>
      <c r="F33" s="67">
        <f>COUNTIFS(DS!AG:AG,B13,DS!H:H,"1")+COUNTIFS(SMI!AF:AF,B13,SMI!H:H,"1")+COUNTIFS('IN AND OUT'!$AG$9:$AG$27,B13,'IN AND OUT'!$H$9:$H$27,"1")</f>
        <v>3</v>
      </c>
      <c r="G33" s="45"/>
      <c r="H33" s="41"/>
      <c r="I33" s="46"/>
      <c r="K33" s="45"/>
      <c r="L33" s="47"/>
      <c r="P33" s="45"/>
    </row>
    <row r="34" spans="1:16" ht="18.75" customHeight="1">
      <c r="A34" s="59" t="str">
        <f t="shared" si="3"/>
        <v>IRMA</v>
      </c>
      <c r="B34" s="67">
        <f>COUNTIFS(DS!AG:AG,B14,DS!I:I,"1")+COUNTIFS(SMI!AF:AF,B14,SMI!I:I,"1")+COUNTIFS('IN AND OUT'!$AG$9:$AG$27,B14,'IN AND OUT'!$I$9:$I$27,"1")</f>
        <v>2</v>
      </c>
      <c r="C34" s="67">
        <f>COUNTIFS(DS!AG:AG,B14,DS!J:J,"1")+COUNTIFS(SMI!AF:AF,B14,SMI!J:J,"1")+COUNTIFS('IN AND OUT'!$AG$9:$AG$27,B14,'IN AND OUT'!$J$9:$J$27,"1")</f>
        <v>3</v>
      </c>
      <c r="D34" s="67">
        <f t="shared" si="4"/>
        <v>5</v>
      </c>
      <c r="E34" s="67">
        <f>COUNTIFS(DS!AG:AG,B14,DS!G:G,"1")+COUNTIFS(SMI!AF:AF,B14,SMI!G:G,"1")+COUNTIFS('IN AND OUT'!$AG$9:$AG$27,B14,'IN AND OUT'!$G$9:$G$27,"1")</f>
        <v>3</v>
      </c>
      <c r="F34" s="67">
        <f>COUNTIFS(DS!AG:AG,B14,DS!H:H,"1")+COUNTIFS(SMI!AF:AF,B14,SMI!H:H,"1")+COUNTIFS('IN AND OUT'!$AG$9:$AG$27,B14,'IN AND OUT'!$H$9:$H$27,"1")</f>
        <v>2</v>
      </c>
      <c r="G34" s="45"/>
      <c r="H34" s="41"/>
      <c r="I34" s="46"/>
      <c r="K34" s="45"/>
      <c r="L34" s="47"/>
      <c r="P34" s="45"/>
    </row>
    <row r="35" spans="1:16" ht="18.75" customHeight="1">
      <c r="A35" s="59" t="str">
        <f t="shared" si="3"/>
        <v>JOJO</v>
      </c>
      <c r="B35" s="67">
        <f>COUNTIFS(DS!AG:AG,B15,DS!I:I,"1")+COUNTIFS(SMI!AF:AF,B15,SMI!I:I,"1")+COUNTIFS('IN AND OUT'!$AG$9:$AG$27,B15,'IN AND OUT'!$I$9:$I$27,"1")</f>
        <v>4</v>
      </c>
      <c r="C35" s="67">
        <f>COUNTIFS(DS!AG:AG,B15,DS!J:J,"1")+COUNTIFS(SMI!AF:AF,B15,SMI!J:J,"1")+COUNTIFS('IN AND OUT'!$AG$9:$AG$27,B15,'IN AND OUT'!$J$9:$J$27,"1")</f>
        <v>3</v>
      </c>
      <c r="D35" s="67">
        <f t="shared" si="4"/>
        <v>7</v>
      </c>
      <c r="E35" s="67">
        <f>COUNTIFS(DS!AG:AG,B15,DS!G:G,"1")+COUNTIFS(SMI!AF:AF,B15,SMI!G:G,"1")+COUNTIFS('IN AND OUT'!$AG$9:$AG$27,B15,'IN AND OUT'!$G$9:$G$27,"1")</f>
        <v>3</v>
      </c>
      <c r="F35" s="67">
        <f>COUNTIFS(DS!AG:AG,B15,DS!H:H,"1")+COUNTIFS(SMI!AF:AF,B15,SMI!H:H,"1")+COUNTIFS('IN AND OUT'!$AG$9:$AG$27,B15,'IN AND OUT'!$H$9:$H$27,"1")</f>
        <v>4</v>
      </c>
      <c r="G35" s="45"/>
      <c r="H35" s="41"/>
      <c r="I35" s="46"/>
      <c r="K35" s="45"/>
      <c r="L35" s="47"/>
      <c r="P35" s="45"/>
    </row>
    <row r="36" spans="1:16" ht="18.75" customHeight="1">
      <c r="A36" s="59" t="str">
        <f>A17</f>
        <v>ALVIN</v>
      </c>
      <c r="B36" s="67">
        <f>COUNTIFS(DS!AG:AG,B16,DS!I:I,"1")+COUNTIFS(SMI!AF:AF,B16,SMI!I:I,"1")+COUNTIFS('IN AND OUT'!$AG$9:$AG$27,B16,'IN AND OUT'!$I$9:$I$27,"1")</f>
        <v>3</v>
      </c>
      <c r="C36" s="67">
        <f>COUNTIFS(DS!AG:AG,B16,DS!J:J,"1")+COUNTIFS(SMI!AF:AF,B16,SMI!J:J,"1")+COUNTIFS('IN AND OUT'!$AG$9:$AG$27,B16,'IN AND OUT'!$J$9:$J$27,"1")</f>
        <v>1</v>
      </c>
      <c r="D36" s="67">
        <f t="shared" si="4"/>
        <v>4</v>
      </c>
      <c r="E36" s="67">
        <f>COUNTIFS(DS!AG:AG,B16,DS!G:G,"1")+COUNTIFS(SMI!AF:AF,B16,SMI!G:G,"1")+COUNTIFS('IN AND OUT'!$AG$9:$AG$27,B16,'IN AND OUT'!$G$9:$G$27,"1")</f>
        <v>3</v>
      </c>
      <c r="F36" s="67">
        <f>COUNTIFS(DS!AG:AG,B16,DS!H:H,"1")+COUNTIFS(SMI!AF:AF,B16,SMI!H:H,"1")+COUNTIFS('IN AND OUT'!$AG$9:$AG$27,B16,'IN AND OUT'!$H$9:$H$27,"1")</f>
        <v>1</v>
      </c>
      <c r="G36" s="45"/>
      <c r="I36" s="46"/>
      <c r="K36" s="45"/>
      <c r="L36" s="47"/>
      <c r="P36" s="45"/>
    </row>
    <row r="37" spans="1:16" ht="18.75" customHeight="1">
      <c r="A37" s="59" t="str">
        <f>A16</f>
        <v>ARI</v>
      </c>
      <c r="B37" s="67">
        <f>COUNTIFS(DS!AG:AG,B17,DS!I:I,"1")+COUNTIFS(SMI!AF:AF,B17,SMI!I:I,"1")+COUNTIFS('IN AND OUT'!$AG$9:$AG$27,B17,'IN AND OUT'!$I$9:$I$27,"1")</f>
        <v>2</v>
      </c>
      <c r="C37" s="67">
        <f>COUNTIFS(DS!AG:AG,B17,DS!J:J,"1")+COUNTIFS(SMI!AF:AF,B17,SMI!J:J,"1")+COUNTIFS('IN AND OUT'!$AG$9:$AG$27,B17,'IN AND OUT'!$J$9:$J$27,"1")</f>
        <v>6</v>
      </c>
      <c r="D37" s="67">
        <f t="shared" si="4"/>
        <v>8</v>
      </c>
      <c r="E37" s="67">
        <f>COUNTIFS(DS!AG:AG,B17,DS!G:G,"1")+COUNTIFS(SMI!AF:AF,B17,SMI!G:G,"1")+COUNTIFS('IN AND OUT'!$AG$9:$AG$27,B17,'IN AND OUT'!$G$9:$G$27,"1")</f>
        <v>4</v>
      </c>
      <c r="F37" s="67">
        <f>COUNTIFS(DS!AG:AG,B17,DS!H:H,"1")+COUNTIFS(SMI!AF:AF,B17,SMI!H:H,"1")+COUNTIFS('IN AND OUT'!$AG$9:$AG$27,B17,'IN AND OUT'!$H$9:$H$27,"1")</f>
        <v>4</v>
      </c>
      <c r="G37" s="45"/>
      <c r="I37" s="46"/>
      <c r="K37" s="45"/>
      <c r="L37" s="47"/>
      <c r="P37" s="45"/>
    </row>
    <row r="38" spans="1:16" ht="18.75" customHeight="1">
      <c r="A38" s="695">
        <f>A18</f>
        <v>0</v>
      </c>
      <c r="B38" s="67">
        <f>COUNTIFS(DS!AG:AG,B18,DS!I:I,"1")+COUNTIFS(SMI!AF:AF,B18,SMI!I:I,"1")+COUNTIFS('IN AND OUT'!$AG$9:$AG$27,B18,'IN AND OUT'!$I$9:$I$27,"1")</f>
        <v>0</v>
      </c>
      <c r="C38" s="67">
        <f>COUNTIFS(DS!AG:AG,B18,DS!J:J,"1")+COUNTIFS(SMI!AF:AF,B18,SMI!J:J,"1")+COUNTIFS('IN AND OUT'!$AG$9:$AG$27,B18,'IN AND OUT'!$J$9:$J$27,"1")</f>
        <v>0</v>
      </c>
      <c r="D38" s="67">
        <f t="shared" si="4"/>
        <v>0</v>
      </c>
      <c r="E38" s="67">
        <f>COUNTIFS(DS!AG:AG,B18,DS!G:G,"1")+COUNTIFS(SMI!AF:AF,B18,SMI!G:G,"1")+COUNTIFS('IN AND OUT'!$AG$9:$AG$27,B18,'IN AND OUT'!$G$9:$G$27,"1")</f>
        <v>0</v>
      </c>
      <c r="F38" s="67">
        <f>COUNTIFS(DS!AG:AG,B18,DS!H:H,"1")+COUNTIFS(SMI!AF:AF,B18,SMI!H:H,"1")+COUNTIFS('IN AND OUT'!$AG$9:$AG$27,B18,'IN AND OUT'!$H$9:$H$27,"1")</f>
        <v>0</v>
      </c>
      <c r="G38" s="692"/>
      <c r="I38" s="46"/>
      <c r="J38" s="692"/>
      <c r="K38" s="692"/>
      <c r="L38" s="47"/>
      <c r="M38" s="692"/>
      <c r="N38" s="692"/>
      <c r="O38" s="692"/>
      <c r="P38" s="692"/>
    </row>
    <row r="39" spans="1:16" ht="18.75" customHeight="1">
      <c r="A39" s="693">
        <f>A19</f>
        <v>0</v>
      </c>
      <c r="B39" s="67">
        <f>COUNTIFS(DS!AG:AG,B19,DS!I:I,"1")+COUNTIFS(SMI!AF:AF,B19,SMI!I:I,"1")+COUNTIFS('IN AND OUT'!$AG$9:$AG$27,B19,'IN AND OUT'!$I$9:$I$27,"1")</f>
        <v>0</v>
      </c>
      <c r="C39" s="67">
        <f>COUNTIFS(DS!AG:AG,B19,DS!J:J,"1")+COUNTIFS(SMI!AF:AF,B19,SMI!J:J,"1")+COUNTIFS('IN AND OUT'!$AG$9:$AG$27,B19,'IN AND OUT'!$J$9:$J$27,"1")</f>
        <v>0</v>
      </c>
      <c r="D39" s="67">
        <f t="shared" si="4"/>
        <v>0</v>
      </c>
      <c r="E39" s="67">
        <f>COUNTIFS(DS!AG:AG,B19,DS!G:G,"1")+COUNTIFS(SMI!AF:AF,B19,SMI!G:G,"1")+COUNTIFS('IN AND OUT'!$AG$9:$AG$27,B19,'IN AND OUT'!$G$9:$G$27,"1")</f>
        <v>0</v>
      </c>
      <c r="F39" s="67">
        <f>COUNTIFS(DS!AG:AG,B19,DS!H:H,"1")+COUNTIFS(SMI!AF:AF,B19,SMI!H:H,"1")+COUNTIFS('IN AND OUT'!$AG$9:$AG$27,B19,'IN AND OUT'!$H$9:$H$27,"1")</f>
        <v>0</v>
      </c>
      <c r="G39" s="692"/>
      <c r="I39" s="46"/>
      <c r="J39" s="692"/>
      <c r="K39" s="692"/>
      <c r="L39" s="47"/>
      <c r="M39" s="692"/>
      <c r="N39" s="692"/>
      <c r="O39" s="692"/>
      <c r="P39" s="692"/>
    </row>
    <row r="40" spans="1:16" ht="18.75" customHeight="1">
      <c r="A40" s="693">
        <f>A20</f>
        <v>0</v>
      </c>
      <c r="B40" s="67">
        <f>COUNTIFS(DS!AG:AG,B20,DS!I:I,"1")+COUNTIFS(SMI!AF:AF,B20,SMI!I:I,"1")+COUNTIFS('IN AND OUT'!$AG$9:$AG$27,B20,'IN AND OUT'!$I$9:$I$27,"1")</f>
        <v>0</v>
      </c>
      <c r="C40" s="67">
        <f>COUNTIFS(DS!AG:AG,B20,DS!J:J,"1")+COUNTIFS(SMI!AF:AF,B20,SMI!J:J,"1")+COUNTIFS('IN AND OUT'!$AG$9:$AG$27,B20,'IN AND OUT'!$J$9:$J$27,"1")</f>
        <v>0</v>
      </c>
      <c r="D40" s="67">
        <f t="shared" si="4"/>
        <v>0</v>
      </c>
      <c r="E40" s="67">
        <f>COUNTIFS(DS!AG:AG,B20,DS!G:G,"1")+COUNTIFS(SMI!AF:AF,B20,SMI!G:G,"1")+COUNTIFS('IN AND OUT'!$AG$9:$AG$27,B20,'IN AND OUT'!$G$9:$G$27,"1")</f>
        <v>0</v>
      </c>
      <c r="F40" s="67">
        <f>COUNTIFS(DS!AG:AG,B20,DS!H:H,"1")+COUNTIFS(SMI!AF:AF,B20,SMI!H:H,"1")+COUNTIFS('IN AND OUT'!$AG$9:$AG$27,B20,'IN AND OUT'!$H$9:$H$27,"1")</f>
        <v>0</v>
      </c>
      <c r="G40" s="697"/>
      <c r="I40" s="46"/>
      <c r="J40" s="697"/>
      <c r="K40" s="697"/>
      <c r="L40" s="47"/>
      <c r="M40" s="697"/>
      <c r="N40" s="697"/>
      <c r="O40" s="697"/>
      <c r="P40" s="697"/>
    </row>
    <row r="41" spans="1:16" ht="18.75" customHeight="1">
      <c r="A41" s="693">
        <f>A21</f>
        <v>0</v>
      </c>
      <c r="B41" s="67">
        <f>COUNTIFS(DS!AG:AG,B21,DS!I:I,"1")+COUNTIFS(SMI!AF:AF,B21,SMI!I:I,"1")+COUNTIFS('IN AND OUT'!$AG$9:$AG$27,B21,'IN AND OUT'!$I$9:$I$27,"1")</f>
        <v>0</v>
      </c>
      <c r="C41" s="67">
        <f>COUNTIFS(DS!AG:AG,B21,DS!J:J,"1")+COUNTIFS(SMI!AF:AF,B21,SMI!J:J,"1")+COUNTIFS('IN AND OUT'!$AG$9:$AG$27,B21,'IN AND OUT'!$J$9:$J$27,"1")</f>
        <v>0</v>
      </c>
      <c r="D41" s="67">
        <f t="shared" si="4"/>
        <v>0</v>
      </c>
      <c r="E41" s="67">
        <f>COUNTIFS(DS!AG:AG,B21,DS!G:G,"1")+COUNTIFS(SMI!AF:AF,B21,SMI!G:G,"1")+COUNTIFS('IN AND OUT'!$AG$9:$AG$27,B21,'IN AND OUT'!$G$9:$G$27,"1")</f>
        <v>0</v>
      </c>
      <c r="F41" s="67">
        <f>COUNTIFS(DS!AG:AG,B21,DS!H:H,"1")+COUNTIFS(SMI!AF:AF,B21,SMI!H:H,"1")+COUNTIFS('IN AND OUT'!$AG$9:$AG$27,B21,'IN AND OUT'!$H$9:$H$27,"1")</f>
        <v>0</v>
      </c>
      <c r="G41" s="697"/>
      <c r="I41" s="46"/>
      <c r="J41" s="697"/>
      <c r="K41" s="697"/>
      <c r="L41" s="47"/>
      <c r="M41" s="697"/>
      <c r="N41" s="697"/>
      <c r="O41" s="697"/>
      <c r="P41" s="697"/>
    </row>
    <row r="42" spans="1:16" ht="18.75" customHeight="1">
      <c r="A42" s="693">
        <f>A22</f>
        <v>0</v>
      </c>
      <c r="B42" s="67">
        <f>COUNTIFS(DS!AG:AG,B22,DS!I:I,"1")+COUNTIFS(SMI!AF:AF,B22,SMI!I:I,"1")+COUNTIFS('IN AND OUT'!$AG$9:$AG$27,B22,'IN AND OUT'!$I$9:$I$27,"1")</f>
        <v>0</v>
      </c>
      <c r="C42" s="67">
        <f>COUNTIFS(DS!AG:AG,B22,DS!J:J,"1")+COUNTIFS(SMI!AF:AF,B22,SMI!J:J,"1")+COUNTIFS('IN AND OUT'!$AG$9:$AG$27,B22,'IN AND OUT'!$J$9:$J$27,"1")</f>
        <v>0</v>
      </c>
      <c r="D42" s="67">
        <f t="shared" si="4"/>
        <v>0</v>
      </c>
      <c r="E42" s="67">
        <f>COUNTIFS(DS!AG:AG,B22,DS!G:G,"1")+COUNTIFS(SMI!AF:AF,B22,SMI!G:G,"1")+COUNTIFS('IN AND OUT'!$AG$9:$AG$27,B22,'IN AND OUT'!$G$9:$G$27,"1")</f>
        <v>0</v>
      </c>
      <c r="F42" s="67">
        <f>COUNTIFS(DS!AG:AG,B22,DS!H:H,"1")+COUNTIFS(SMI!AF:AF,B22,SMI!H:H,"1")+COUNTIFS('IN AND OUT'!$AG$9:$AG$27,B22,'IN AND OUT'!$H$9:$H$27,"1")</f>
        <v>0</v>
      </c>
      <c r="G42" s="697"/>
      <c r="I42" s="46"/>
      <c r="J42" s="697"/>
      <c r="K42" s="697"/>
      <c r="L42" s="47"/>
      <c r="M42" s="697"/>
      <c r="N42" s="697"/>
      <c r="O42" s="697"/>
      <c r="P42" s="697"/>
    </row>
    <row r="43" spans="1:16" ht="18.75" customHeight="1">
      <c r="A43" s="59"/>
      <c r="B43" s="67">
        <f>COUNTIFS(DS!AG:AG,B23,DS!I:I,"1")+COUNTIFS(SMI!AF:AF,B23,SMI!I:I,"1")+COUNTIFS('IN AND OUT'!$AG$9:$AG$27,B23,'IN AND OUT'!$I$9:$I$27,"1")</f>
        <v>0</v>
      </c>
      <c r="C43" s="67">
        <f>COUNTIFS(DS!AG:AG,B23,DS!J:J,"1")+COUNTIFS(SMI!AF:AF,B23,SMI!J:J,"1")+COUNTIFS('IN AND OUT'!$AG$9:$AG$27,B23,'IN AND OUT'!$J$9:$J$27,"1")</f>
        <v>0</v>
      </c>
      <c r="D43" s="67">
        <f t="shared" si="4"/>
        <v>0</v>
      </c>
      <c r="E43" s="67">
        <f>COUNTIFS(DS!AG:AG,B23,DS!G:G,"1")+COUNTIFS(SMI!AF:AF,B23,SMI!G:G,"1")+COUNTIFS('IN AND OUT'!$AG$9:$AG$27,B23,'IN AND OUT'!$G$9:$G$27,"1")</f>
        <v>0</v>
      </c>
      <c r="F43" s="67">
        <f>COUNTIFS(DS!AG:AG,B23,DS!H:H,"1")+COUNTIFS(SMI!AF:AF,B23,SMI!H:H,"1")+COUNTIFS('IN AND OUT'!$AG$9:$AG$27,B23,'IN AND OUT'!$H$9:$H$27,"1")</f>
        <v>0</v>
      </c>
      <c r="G43" s="45"/>
      <c r="I43" s="46"/>
      <c r="K43" s="45"/>
      <c r="L43" s="47"/>
      <c r="P43" s="45"/>
    </row>
    <row r="44" spans="1:16" ht="17.850000000000001" customHeight="1">
      <c r="A44" s="68" t="s">
        <v>595</v>
      </c>
      <c r="B44" s="68">
        <f>SUM(B28:B43)</f>
        <v>22</v>
      </c>
      <c r="C44" s="68">
        <f>SUM(C28:C43)</f>
        <v>30</v>
      </c>
      <c r="D44" s="68">
        <f>SUM(D28:D43)</f>
        <v>52</v>
      </c>
      <c r="E44" s="68">
        <f>SUM(E28:E43)</f>
        <v>25</v>
      </c>
      <c r="F44" s="68">
        <f>SUM(F28:F43)</f>
        <v>27</v>
      </c>
      <c r="G44" s="45"/>
      <c r="I44" s="46"/>
      <c r="K44" s="45"/>
      <c r="L44" s="47"/>
      <c r="P44" s="45"/>
    </row>
    <row r="45" spans="1:16" ht="17.850000000000001" customHeight="1">
      <c r="G45" s="45"/>
      <c r="I45" s="46"/>
      <c r="K45" s="45"/>
      <c r="L45" s="47"/>
      <c r="P45" s="45"/>
    </row>
    <row r="46" spans="1:16" ht="17.850000000000001" customHeight="1"/>
    <row r="47" spans="1:16" ht="17.850000000000001" customHeight="1"/>
    <row r="48" spans="1:16" ht="17.850000000000001" customHeight="1"/>
    <row r="49" ht="17.850000000000001" customHeight="1"/>
    <row r="50" ht="17.850000000000001" customHeight="1"/>
    <row r="51" ht="17.850000000000001" customHeight="1"/>
    <row r="52" ht="17.850000000000001" customHeight="1"/>
    <row r="53" ht="17.850000000000001" customHeight="1"/>
    <row r="54" ht="17.850000000000001" customHeight="1"/>
    <row r="55" ht="21.6" customHeight="1"/>
  </sheetData>
  <sheetProtection selectLockedCells="1" selectUnlockedCells="1"/>
  <mergeCells count="4">
    <mergeCell ref="A4:C4"/>
    <mergeCell ref="A1:C2"/>
    <mergeCell ref="B5:E5"/>
    <mergeCell ref="B3:C3"/>
  </mergeCells>
  <printOptions horizontalCentered="1" verticalCentered="1"/>
  <pageMargins left="0.78749999999999998" right="0.78749999999999998" top="0.51180555555555596" bottom="0.51180555555555596" header="0.51180555555555596" footer="0.51180555555555596"/>
  <pageSetup firstPageNumber="0" orientation="landscape" useFirstPageNumber="1" horizontalDpi="300" verticalDpi="300"/>
  <headerFooter alignWithMargins="0">
    <oddHeader>&amp;CTAB]</oddHeader>
    <oddFooter>&amp;CPage PAGE]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9"/>
  <sheetViews>
    <sheetView workbookViewId="0">
      <selection activeCell="U35" sqref="U35"/>
    </sheetView>
  </sheetViews>
  <sheetFormatPr defaultRowHeight="15" customHeight="1"/>
  <cols>
    <col min="1" max="2" width="11" style="34" customWidth="1"/>
    <col min="3" max="3" width="54" style="33" customWidth="1"/>
    <col min="4" max="4" width="13.25" style="34" customWidth="1"/>
    <col min="5" max="7" width="9.25" style="33"/>
    <col min="8" max="8" width="37.5" style="33" customWidth="1"/>
    <col min="9" max="9" width="17.125" style="33" customWidth="1"/>
    <col min="10" max="24" width="9.25" style="33"/>
  </cols>
  <sheetData>
    <row r="1" spans="1:9" ht="15" customHeight="1">
      <c r="A1" s="174" t="s">
        <v>642</v>
      </c>
      <c r="B1" s="174" t="s">
        <v>643</v>
      </c>
      <c r="C1" s="173" t="s">
        <v>613</v>
      </c>
      <c r="D1" s="38" t="s">
        <v>751</v>
      </c>
      <c r="F1" s="174" t="s">
        <v>642</v>
      </c>
      <c r="G1" s="174" t="s">
        <v>643</v>
      </c>
      <c r="H1" s="173" t="s">
        <v>613</v>
      </c>
      <c r="I1" s="38" t="s">
        <v>751</v>
      </c>
    </row>
    <row r="2" spans="1:9" ht="15" customHeight="1">
      <c r="A2" s="174">
        <v>800001</v>
      </c>
      <c r="B2" s="174">
        <v>800001</v>
      </c>
      <c r="C2" s="173" t="s">
        <v>644</v>
      </c>
      <c r="D2" s="38" t="e">
        <f>COUNTIF(DS!AH:AI,'Sales Support'!A2)+COUNTIF(SC!AH:AI,'Sales Support'!A2)+COUNTIF(SMI!AG:AH,'Sales Support'!A2)+COUNTIF(HO!AE:AF,'Sales Support'!A2)+COUNTIF(MARKOM!AH:AI,'Sales Support'!A2)+COUNTIF('IN AND OUT'!#REF!,'Sales Support'!A2)</f>
        <v>#REF!</v>
      </c>
      <c r="F2" s="261">
        <v>805319</v>
      </c>
      <c r="G2" s="261">
        <v>805319</v>
      </c>
      <c r="H2" s="262" t="s">
        <v>689</v>
      </c>
      <c r="I2" s="260" t="e">
        <f>COUNTIF(DS!AH:AI,'Sales Support'!F2)+COUNTIF(SC!AH:AI,'Sales Support'!A2)+COUNTIF(SMI!AG:AH,'Sales Support'!F2)+COUNTIF(HO!AE:AF,'Sales Support'!F2)+COUNTIF(MARKOM!AH:AI,'Sales Support'!F2)+COUNTIF('IN AND OUT'!#REF!,'Sales Support'!F2)</f>
        <v>#REF!</v>
      </c>
    </row>
    <row r="3" spans="1:9" ht="15" customHeight="1">
      <c r="A3" s="174">
        <v>801832</v>
      </c>
      <c r="B3" s="174">
        <v>801832</v>
      </c>
      <c r="C3" s="173" t="s">
        <v>645</v>
      </c>
      <c r="D3" s="38" t="e">
        <f>COUNTIF(DS!AH:AI,'Sales Support'!A3)+COUNTIF(SC!AH:AI,'Sales Support'!A3)+COUNTIF(SMI!AG:AH,'Sales Support'!A3)+COUNTIF(HO!AE:AF,'Sales Support'!A3)+COUNTIF(MARKOM!AH:AI,'Sales Support'!A3)+COUNTIF('IN AND OUT'!#REF!,'Sales Support'!A3)</f>
        <v>#REF!</v>
      </c>
      <c r="F3" s="261">
        <v>805553</v>
      </c>
      <c r="G3" s="261">
        <v>805553</v>
      </c>
      <c r="H3" s="262" t="s">
        <v>693</v>
      </c>
      <c r="I3" s="260" t="e">
        <f>COUNTIF(DS!AH:AI,'Sales Support'!F3)+COUNTIF(SC!AH:AI,'Sales Support'!A3)+COUNTIF(SMI!AG:AH,'Sales Support'!F3)+COUNTIF(HO!AE:AF,'Sales Support'!F3)+COUNTIF(MARKOM!AH:AI,'Sales Support'!F3)+COUNTIF('IN AND OUT'!#REF!,'Sales Support'!F3)</f>
        <v>#REF!</v>
      </c>
    </row>
    <row r="4" spans="1:9" ht="15" customHeight="1">
      <c r="A4" s="174">
        <v>801833</v>
      </c>
      <c r="B4" s="174">
        <v>801833</v>
      </c>
      <c r="C4" s="173" t="s">
        <v>646</v>
      </c>
      <c r="D4" s="38" t="e">
        <f>COUNTIF(DS!AH:AI,'Sales Support'!A4)+COUNTIF(SC!AH:AI,'Sales Support'!A4)+COUNTIF(SMI!AG:AH,'Sales Support'!A4)+COUNTIF(HO!AE:AF,'Sales Support'!A4)+COUNTIF(MARKOM!AH:AI,'Sales Support'!A4)+COUNTIF('IN AND OUT'!#REF!,'Sales Support'!A4)</f>
        <v>#REF!</v>
      </c>
      <c r="F4" s="261">
        <v>806422</v>
      </c>
      <c r="G4" s="261">
        <v>806422</v>
      </c>
      <c r="H4" s="262" t="s">
        <v>693</v>
      </c>
      <c r="I4" s="260" t="e">
        <f>COUNTIF(DS!AH:AI,'Sales Support'!F4)+COUNTIF(SC!AH:AI,'Sales Support'!A4)+COUNTIF(SMI!AG:AH,'Sales Support'!F4)+COUNTIF(HO!AE:AF,'Sales Support'!F4)+COUNTIF(MARKOM!AH:AI,'Sales Support'!F4)+COUNTIF('IN AND OUT'!#REF!,'Sales Support'!F4)</f>
        <v>#REF!</v>
      </c>
    </row>
    <row r="5" spans="1:9" ht="15" customHeight="1">
      <c r="A5" s="174">
        <v>801906</v>
      </c>
      <c r="B5" s="174">
        <v>801906</v>
      </c>
      <c r="C5" s="173" t="s">
        <v>647</v>
      </c>
      <c r="D5" s="38" t="e">
        <f>COUNTIF(DS!AH:AI,'Sales Support'!A5)+COUNTIF(SC!AH:AI,'Sales Support'!A5)+COUNTIF(SMI!AG:AH,'Sales Support'!A5)+COUNTIF(HO!AE:AF,'Sales Support'!A5)+COUNTIF(MARKOM!AH:AI,'Sales Support'!A5)+COUNTIF('IN AND OUT'!#REF!,'Sales Support'!A5)</f>
        <v>#REF!</v>
      </c>
    </row>
    <row r="6" spans="1:9" ht="15" customHeight="1">
      <c r="A6" s="174">
        <v>801910</v>
      </c>
      <c r="B6" s="174">
        <v>801910</v>
      </c>
      <c r="C6" s="173" t="s">
        <v>648</v>
      </c>
      <c r="D6" s="38" t="e">
        <f>COUNTIF(DS!AH:AI,'Sales Support'!A6)+COUNTIF(SC!AH:AI,'Sales Support'!A6)+COUNTIF(SMI!AG:AH,'Sales Support'!A6)+COUNTIF(HO!AE:AF,'Sales Support'!A6)+COUNTIF(MARKOM!AH:AI,'Sales Support'!A6)+COUNTIF('IN AND OUT'!#REF!,'Sales Support'!A6)</f>
        <v>#REF!</v>
      </c>
    </row>
    <row r="7" spans="1:9" ht="15" customHeight="1">
      <c r="A7" s="174">
        <v>801912</v>
      </c>
      <c r="B7" s="174">
        <v>801912</v>
      </c>
      <c r="C7" s="173" t="s">
        <v>649</v>
      </c>
      <c r="D7" s="38" t="e">
        <f>COUNTIF(DS!AH:AI,'Sales Support'!A7)+COUNTIF(SC!AH:AI,'Sales Support'!A7)+COUNTIF(SMI!AG:AH,'Sales Support'!A7)+COUNTIF(HO!AE:AF,'Sales Support'!A7)+COUNTIF(MARKOM!AH:AI,'Sales Support'!A7)+COUNTIF('IN AND OUT'!#REF!,'Sales Support'!A7)</f>
        <v>#REF!</v>
      </c>
    </row>
    <row r="8" spans="1:9" ht="15" customHeight="1">
      <c r="A8" s="174">
        <v>802551</v>
      </c>
      <c r="B8" s="174">
        <v>802551</v>
      </c>
      <c r="C8" s="173" t="s">
        <v>650</v>
      </c>
      <c r="D8" s="38" t="e">
        <f>COUNTIF(DS!AH:AI,'Sales Support'!A8)+COUNTIF(SC!AH:AI,'Sales Support'!A8)+COUNTIF(SMI!AG:AH,'Sales Support'!A8)+COUNTIF(HO!AE:AF,'Sales Support'!A8)+COUNTIF(MARKOM!AH:AI,'Sales Support'!A8)+COUNTIF('IN AND OUT'!#REF!,'Sales Support'!A8)</f>
        <v>#REF!</v>
      </c>
    </row>
    <row r="9" spans="1:9" ht="15" customHeight="1">
      <c r="A9" s="174">
        <v>802744</v>
      </c>
      <c r="B9" s="174">
        <v>802744</v>
      </c>
      <c r="C9" s="173" t="s">
        <v>651</v>
      </c>
      <c r="D9" s="38" t="e">
        <f>COUNTIF(DS!AH:AI,'Sales Support'!A9)+COUNTIF(SC!AH:AI,'Sales Support'!A9)+COUNTIF(SMI!AG:AH,'Sales Support'!A9)+COUNTIF(HO!AE:AF,'Sales Support'!A9)+COUNTIF(MARKOM!AH:AI,'Sales Support'!A9)+COUNTIF('IN AND OUT'!#REF!,'Sales Support'!A9)</f>
        <v>#REF!</v>
      </c>
    </row>
    <row r="10" spans="1:9" ht="15" customHeight="1">
      <c r="A10" s="174">
        <v>803152</v>
      </c>
      <c r="B10" s="174">
        <v>803152</v>
      </c>
      <c r="C10" s="173" t="s">
        <v>652</v>
      </c>
      <c r="D10" s="38" t="e">
        <f>COUNTIF(DS!AH:AI,'Sales Support'!A10)+COUNTIF(SC!AH:AI,'Sales Support'!A10)+COUNTIF(SMI!AG:AH,'Sales Support'!A10)+COUNTIF(HO!AE:AF,'Sales Support'!A10)+COUNTIF(MARKOM!AH:AI,'Sales Support'!A10)+COUNTIF('IN AND OUT'!#REF!,'Sales Support'!A10)</f>
        <v>#REF!</v>
      </c>
    </row>
    <row r="11" spans="1:9" ht="15" customHeight="1">
      <c r="A11" s="174">
        <v>803153</v>
      </c>
      <c r="B11" s="174">
        <v>803153</v>
      </c>
      <c r="C11" s="173" t="s">
        <v>653</v>
      </c>
      <c r="D11" s="38" t="e">
        <f>COUNTIF(DS!AH:AI,'Sales Support'!A11)+COUNTIF(SC!AH:AI,'Sales Support'!A11)+COUNTIF(SMI!AG:AH,'Sales Support'!A11)+COUNTIF(HO!AE:AF,'Sales Support'!A11)+COUNTIF(MARKOM!AH:AI,'Sales Support'!A11)+COUNTIF('IN AND OUT'!#REF!,'Sales Support'!A11)</f>
        <v>#REF!</v>
      </c>
    </row>
    <row r="12" spans="1:9" ht="15" customHeight="1">
      <c r="A12" s="174">
        <v>803223</v>
      </c>
      <c r="B12" s="174">
        <v>803223</v>
      </c>
      <c r="C12" s="173" t="s">
        <v>654</v>
      </c>
      <c r="D12" s="38" t="e">
        <f>COUNTIF(DS!AH:AI,'Sales Support'!A12)+COUNTIF(SC!AH:AI,'Sales Support'!A12)+COUNTIF(SMI!AG:AH,'Sales Support'!A12)+COUNTIF(HO!AE:AF,'Sales Support'!A12)+COUNTIF(MARKOM!AH:AI,'Sales Support'!A12)+COUNTIF('IN AND OUT'!#REF!,'Sales Support'!A12)</f>
        <v>#REF!</v>
      </c>
    </row>
    <row r="13" spans="1:9" ht="15" customHeight="1">
      <c r="A13" s="174">
        <v>803227</v>
      </c>
      <c r="B13" s="174">
        <v>803227</v>
      </c>
      <c r="C13" s="173" t="s">
        <v>655</v>
      </c>
      <c r="D13" s="38" t="e">
        <f>COUNTIF(DS!AH:AI,'Sales Support'!A13)+COUNTIF(SC!AH:AI,'Sales Support'!A13)+COUNTIF(SMI!AG:AH,'Sales Support'!A13)+COUNTIF(HO!AE:AF,'Sales Support'!A13)+COUNTIF(MARKOM!AH:AI,'Sales Support'!A13)+COUNTIF('IN AND OUT'!#REF!,'Sales Support'!A13)</f>
        <v>#REF!</v>
      </c>
    </row>
    <row r="14" spans="1:9" ht="15" customHeight="1">
      <c r="A14" s="174">
        <v>803316</v>
      </c>
      <c r="B14" s="174">
        <v>803316</v>
      </c>
      <c r="C14" s="173" t="s">
        <v>656</v>
      </c>
      <c r="D14" s="38" t="e">
        <f>COUNTIF(DS!AH:AI,'Sales Support'!A14)+COUNTIF(SC!AH:AI,'Sales Support'!A14)+COUNTIF(SMI!AG:AH,'Sales Support'!A14)+COUNTIF(HO!AE:AF,'Sales Support'!A14)+COUNTIF(MARKOM!AH:AI,'Sales Support'!A14)+COUNTIF('IN AND OUT'!#REF!,'Sales Support'!A14)</f>
        <v>#REF!</v>
      </c>
    </row>
    <row r="15" spans="1:9" ht="15" customHeight="1">
      <c r="A15" s="174">
        <v>803457</v>
      </c>
      <c r="B15" s="174">
        <v>803457</v>
      </c>
      <c r="C15" s="173" t="s">
        <v>657</v>
      </c>
      <c r="D15" s="38" t="e">
        <f>COUNTIF(DS!AH:AI,'Sales Support'!A15)+COUNTIF(SC!AH:AI,'Sales Support'!A15)+COUNTIF(SMI!AG:AH,'Sales Support'!A15)+COUNTIF(HO!AE:AF,'Sales Support'!A15)+COUNTIF(MARKOM!AH:AI,'Sales Support'!A15)+COUNTIF('IN AND OUT'!#REF!,'Sales Support'!A15)</f>
        <v>#REF!</v>
      </c>
    </row>
    <row r="16" spans="1:9" ht="15" customHeight="1">
      <c r="A16" s="174">
        <v>803610</v>
      </c>
      <c r="B16" s="174">
        <v>803610</v>
      </c>
      <c r="C16" s="173" t="s">
        <v>658</v>
      </c>
      <c r="D16" s="38" t="e">
        <f>COUNTIF(DS!AH:AI,'Sales Support'!A16)+COUNTIF(SC!AH:AI,'Sales Support'!A16)+COUNTIF(SMI!AG:AH,'Sales Support'!A16)+COUNTIF(HO!AE:AF,'Sales Support'!A16)+COUNTIF(MARKOM!AH:AI,'Sales Support'!A16)+COUNTIF('IN AND OUT'!#REF!,'Sales Support'!A16)</f>
        <v>#REF!</v>
      </c>
    </row>
    <row r="17" spans="1:4" ht="15" customHeight="1">
      <c r="A17" s="174">
        <v>803698</v>
      </c>
      <c r="B17" s="174">
        <v>803698</v>
      </c>
      <c r="C17" s="173" t="s">
        <v>659</v>
      </c>
      <c r="D17" s="38" t="e">
        <f>COUNTIF(DS!AH:AI,'Sales Support'!A17)+COUNTIF(SC!AH:AI,'Sales Support'!A17)+COUNTIF(SMI!AG:AH,'Sales Support'!A17)+COUNTIF(HO!AE:AF,'Sales Support'!A17)+COUNTIF(MARKOM!AH:AI,'Sales Support'!A17)+COUNTIF('IN AND OUT'!#REF!,'Sales Support'!A17)</f>
        <v>#REF!</v>
      </c>
    </row>
    <row r="18" spans="1:4" ht="15" customHeight="1">
      <c r="A18" s="174">
        <v>803712</v>
      </c>
      <c r="B18" s="174">
        <v>803712</v>
      </c>
      <c r="C18" s="173" t="s">
        <v>660</v>
      </c>
      <c r="D18" s="38" t="e">
        <f>COUNTIF(DS!AH:AI,'Sales Support'!A18)+COUNTIF(SC!AH:AI,'Sales Support'!A18)+COUNTIF(SMI!AG:AH,'Sales Support'!A18)+COUNTIF(HO!AE:AF,'Sales Support'!A18)+COUNTIF(MARKOM!AH:AI,'Sales Support'!A18)+COUNTIF('IN AND OUT'!#REF!,'Sales Support'!A18)</f>
        <v>#REF!</v>
      </c>
    </row>
    <row r="19" spans="1:4" ht="15" customHeight="1">
      <c r="A19" s="174">
        <v>803835</v>
      </c>
      <c r="B19" s="174">
        <v>803835</v>
      </c>
      <c r="C19" s="173" t="s">
        <v>661</v>
      </c>
      <c r="D19" s="38" t="e">
        <f>COUNTIF(DS!AH:AI,'Sales Support'!A19)+COUNTIF(SC!AH:AI,'Sales Support'!A19)+COUNTIF(SMI!AG:AH,'Sales Support'!A19)+COUNTIF(HO!AE:AF,'Sales Support'!A19)+COUNTIF(MARKOM!AH:AI,'Sales Support'!A19)+COUNTIF('IN AND OUT'!#REF!,'Sales Support'!A19)</f>
        <v>#REF!</v>
      </c>
    </row>
    <row r="20" spans="1:4" ht="15" customHeight="1">
      <c r="A20" s="174">
        <v>804185</v>
      </c>
      <c r="B20" s="174">
        <v>804185</v>
      </c>
      <c r="C20" s="173" t="s">
        <v>662</v>
      </c>
      <c r="D20" s="38" t="e">
        <f>COUNTIF(DS!AH:AI,'Sales Support'!A20)+COUNTIF(SC!AH:AI,'Sales Support'!A20)+COUNTIF(SMI!AG:AH,'Sales Support'!A20)+COUNTIF(HO!AE:AF,'Sales Support'!A20)+COUNTIF(MARKOM!AH:AI,'Sales Support'!A20)+COUNTIF('IN AND OUT'!#REF!,'Sales Support'!A20)</f>
        <v>#REF!</v>
      </c>
    </row>
    <row r="21" spans="1:4" ht="15" customHeight="1">
      <c r="A21" s="174">
        <v>804186</v>
      </c>
      <c r="B21" s="174">
        <v>804186</v>
      </c>
      <c r="C21" s="173" t="s">
        <v>663</v>
      </c>
      <c r="D21" s="38" t="e">
        <f>COUNTIF(DS!AH:AI,'Sales Support'!A21)+COUNTIF(SC!AH:AI,'Sales Support'!A21)+COUNTIF(SMI!AG:AH,'Sales Support'!A21)+COUNTIF(HO!AE:AF,'Sales Support'!A21)+COUNTIF(MARKOM!AH:AI,'Sales Support'!A21)+COUNTIF('IN AND OUT'!#REF!,'Sales Support'!A21)</f>
        <v>#REF!</v>
      </c>
    </row>
    <row r="22" spans="1:4" ht="15" customHeight="1">
      <c r="A22" s="174">
        <v>804187</v>
      </c>
      <c r="B22" s="174">
        <v>804187</v>
      </c>
      <c r="C22" s="173" t="s">
        <v>664</v>
      </c>
      <c r="D22" s="38" t="e">
        <f>COUNTIF(DS!AH:AI,'Sales Support'!A22)+COUNTIF(SC!AH:AI,'Sales Support'!A22)+COUNTIF(SMI!AG:AH,'Sales Support'!A22)+COUNTIF(HO!AE:AF,'Sales Support'!A22)+COUNTIF(MARKOM!AH:AI,'Sales Support'!A22)+COUNTIF('IN AND OUT'!#REF!,'Sales Support'!A22)</f>
        <v>#REF!</v>
      </c>
    </row>
    <row r="23" spans="1:4" ht="15" customHeight="1">
      <c r="A23" s="174">
        <v>804188</v>
      </c>
      <c r="B23" s="174">
        <v>804188</v>
      </c>
      <c r="C23" s="173" t="s">
        <v>665</v>
      </c>
      <c r="D23" s="38" t="e">
        <f>COUNTIF(DS!AH:AI,'Sales Support'!A23)+COUNTIF(SC!AH:AI,'Sales Support'!A23)+COUNTIF(SMI!AG:AH,'Sales Support'!A23)+COUNTIF(HO!AE:AF,'Sales Support'!A23)+COUNTIF(MARKOM!AH:AI,'Sales Support'!A23)+COUNTIF('IN AND OUT'!#REF!,'Sales Support'!A23)</f>
        <v>#REF!</v>
      </c>
    </row>
    <row r="24" spans="1:4" ht="15" customHeight="1">
      <c r="A24" s="174">
        <v>804189</v>
      </c>
      <c r="B24" s="174">
        <v>804189</v>
      </c>
      <c r="C24" s="173" t="s">
        <v>666</v>
      </c>
      <c r="D24" s="38" t="e">
        <f>COUNTIF(DS!AH:AI,'Sales Support'!A24)+COUNTIF(SC!AH:AI,'Sales Support'!A24)+COUNTIF(SMI!AG:AH,'Sales Support'!A24)+COUNTIF(HO!AE:AF,'Sales Support'!A24)+COUNTIF(MARKOM!AH:AI,'Sales Support'!A24)+COUNTIF('IN AND OUT'!#REF!,'Sales Support'!A24)</f>
        <v>#REF!</v>
      </c>
    </row>
    <row r="25" spans="1:4" ht="15" customHeight="1">
      <c r="A25" s="174">
        <v>804190</v>
      </c>
      <c r="B25" s="174">
        <v>804190</v>
      </c>
      <c r="C25" s="173" t="s">
        <v>667</v>
      </c>
      <c r="D25" s="38" t="e">
        <f>COUNTIF(DS!AH:AI,'Sales Support'!A25)+COUNTIF(SC!AH:AI,'Sales Support'!A25)+COUNTIF(SMI!AG:AH,'Sales Support'!A25)+COUNTIF(HO!AE:AF,'Sales Support'!A25)+COUNTIF(MARKOM!AH:AI,'Sales Support'!A25)+COUNTIF('IN AND OUT'!#REF!,'Sales Support'!A25)</f>
        <v>#REF!</v>
      </c>
    </row>
    <row r="26" spans="1:4" ht="15" customHeight="1">
      <c r="A26" s="174">
        <v>804191</v>
      </c>
      <c r="B26" s="174">
        <v>804191</v>
      </c>
      <c r="C26" s="173" t="s">
        <v>668</v>
      </c>
      <c r="D26" s="38" t="e">
        <f>COUNTIF(DS!AH:AI,'Sales Support'!A26)+COUNTIF(SC!AH:AI,'Sales Support'!A26)+COUNTIF(SMI!AG:AH,'Sales Support'!A26)+COUNTIF(HO!AE:AF,'Sales Support'!A26)+COUNTIF(MARKOM!AH:AI,'Sales Support'!A26)+COUNTIF('IN AND OUT'!#REF!,'Sales Support'!A26)</f>
        <v>#REF!</v>
      </c>
    </row>
    <row r="27" spans="1:4" ht="15" customHeight="1">
      <c r="A27" s="174">
        <v>804194</v>
      </c>
      <c r="B27" s="174">
        <v>804194</v>
      </c>
      <c r="C27" s="173" t="s">
        <v>669</v>
      </c>
      <c r="D27" s="38" t="e">
        <f>COUNTIF(DS!AH:AI,'Sales Support'!A27)+COUNTIF(SC!AH:AI,'Sales Support'!A27)+COUNTIF(SMI!AG:AH,'Sales Support'!A27)+COUNTIF(HO!AE:AF,'Sales Support'!A27)+COUNTIF(MARKOM!AH:AI,'Sales Support'!A27)+COUNTIF('IN AND OUT'!#REF!,'Sales Support'!A27)</f>
        <v>#REF!</v>
      </c>
    </row>
    <row r="28" spans="1:4" ht="15" customHeight="1">
      <c r="A28" s="174">
        <v>804195</v>
      </c>
      <c r="B28" s="174">
        <v>804195</v>
      </c>
      <c r="C28" s="173" t="s">
        <v>670</v>
      </c>
      <c r="D28" s="38" t="e">
        <f>COUNTIF(DS!AH:AI,'Sales Support'!A28)+COUNTIF(SC!AH:AI,'Sales Support'!A28)+COUNTIF(SMI!AG:AH,'Sales Support'!A28)+COUNTIF(HO!AE:AF,'Sales Support'!A28)+COUNTIF(MARKOM!AH:AI,'Sales Support'!A28)+COUNTIF('IN AND OUT'!#REF!,'Sales Support'!A28)</f>
        <v>#REF!</v>
      </c>
    </row>
    <row r="29" spans="1:4" ht="15" customHeight="1">
      <c r="A29" s="174">
        <v>804197</v>
      </c>
      <c r="B29" s="174">
        <v>804197</v>
      </c>
      <c r="C29" s="173" t="s">
        <v>671</v>
      </c>
      <c r="D29" s="38" t="e">
        <f>COUNTIF(DS!AH:AI,'Sales Support'!A29)+COUNTIF(SC!AH:AI,'Sales Support'!A29)+COUNTIF(SMI!AG:AH,'Sales Support'!A29)+COUNTIF(HO!AE:AF,'Sales Support'!A29)+COUNTIF(MARKOM!AH:AI,'Sales Support'!A29)+COUNTIF('IN AND OUT'!#REF!,'Sales Support'!A29)</f>
        <v>#REF!</v>
      </c>
    </row>
    <row r="30" spans="1:4" ht="15" customHeight="1">
      <c r="A30" s="174">
        <v>804210</v>
      </c>
      <c r="B30" s="174">
        <v>804210</v>
      </c>
      <c r="C30" s="173" t="s">
        <v>672</v>
      </c>
      <c r="D30" s="38" t="e">
        <f>COUNTIF(DS!AH:AI,'Sales Support'!A30)+COUNTIF(SC!AH:AI,'Sales Support'!A30)+COUNTIF(SMI!AG:AH,'Sales Support'!A30)+COUNTIF(HO!AE:AF,'Sales Support'!A30)+COUNTIF(MARKOM!AH:AI,'Sales Support'!A30)+COUNTIF('IN AND OUT'!#REF!,'Sales Support'!A30)</f>
        <v>#REF!</v>
      </c>
    </row>
    <row r="31" spans="1:4" ht="15" customHeight="1">
      <c r="A31" s="174">
        <v>804269</v>
      </c>
      <c r="B31" s="174">
        <v>804269</v>
      </c>
      <c r="C31" s="173" t="s">
        <v>673</v>
      </c>
      <c r="D31" s="38" t="e">
        <f>COUNTIF(DS!AH:AI,'Sales Support'!A31)+COUNTIF(SC!AH:AI,'Sales Support'!A31)+COUNTIF(SMI!AG:AH,'Sales Support'!A31)+COUNTIF(HO!AE:AF,'Sales Support'!A31)+COUNTIF(MARKOM!AH:AI,'Sales Support'!A31)+COUNTIF('IN AND OUT'!#REF!,'Sales Support'!A31)</f>
        <v>#REF!</v>
      </c>
    </row>
    <row r="32" spans="1:4" ht="15" customHeight="1">
      <c r="A32" s="174">
        <v>804270</v>
      </c>
      <c r="B32" s="174">
        <v>804270</v>
      </c>
      <c r="C32" s="173" t="s">
        <v>674</v>
      </c>
      <c r="D32" s="38" t="e">
        <f>COUNTIF(DS!AH:AI,'Sales Support'!A32)+COUNTIF(SC!AH:AI,'Sales Support'!A32)+COUNTIF(SMI!AG:AH,'Sales Support'!A32)+COUNTIF(HO!AE:AF,'Sales Support'!A32)+COUNTIF(MARKOM!AH:AI,'Sales Support'!A32)+COUNTIF('IN AND OUT'!#REF!,'Sales Support'!A32)</f>
        <v>#REF!</v>
      </c>
    </row>
    <row r="33" spans="1:4" ht="15" customHeight="1">
      <c r="A33" s="174">
        <v>804275</v>
      </c>
      <c r="B33" s="174">
        <v>804275</v>
      </c>
      <c r="C33" s="173" t="s">
        <v>675</v>
      </c>
      <c r="D33" s="38" t="e">
        <f>COUNTIF(DS!AH:AI,'Sales Support'!A33)+COUNTIF(SC!AH:AI,'Sales Support'!A33)+COUNTIF(SMI!AG:AH,'Sales Support'!A33)+COUNTIF(HO!AE:AF,'Sales Support'!A33)+COUNTIF(MARKOM!AH:AI,'Sales Support'!A33)+COUNTIF('IN AND OUT'!#REF!,'Sales Support'!A33)</f>
        <v>#REF!</v>
      </c>
    </row>
    <row r="34" spans="1:4" ht="15" customHeight="1">
      <c r="A34" s="174">
        <v>804277</v>
      </c>
      <c r="B34" s="174">
        <v>804277</v>
      </c>
      <c r="C34" s="173" t="s">
        <v>676</v>
      </c>
      <c r="D34" s="38" t="e">
        <f>COUNTIF(DS!AH:AI,'Sales Support'!A34)+COUNTIF(SC!AH:AI,'Sales Support'!A34)+COUNTIF(SMI!AG:AH,'Sales Support'!A34)+COUNTIF(HO!AE:AF,'Sales Support'!A34)+COUNTIF(MARKOM!AH:AI,'Sales Support'!A34)+COUNTIF('IN AND OUT'!#REF!,'Sales Support'!A34)</f>
        <v>#REF!</v>
      </c>
    </row>
    <row r="35" spans="1:4" ht="15" customHeight="1">
      <c r="A35" s="174">
        <v>804279</v>
      </c>
      <c r="B35" s="174">
        <v>804279</v>
      </c>
      <c r="C35" s="173" t="s">
        <v>677</v>
      </c>
      <c r="D35" s="38" t="e">
        <f>COUNTIF(DS!AH:AI,'Sales Support'!A35)+COUNTIF(SC!AH:AI,'Sales Support'!A35)+COUNTIF(SMI!AG:AH,'Sales Support'!A35)+COUNTIF(HO!AE:AF,'Sales Support'!A35)+COUNTIF(MARKOM!AH:AI,'Sales Support'!A35)+COUNTIF('IN AND OUT'!#REF!,'Sales Support'!A35)</f>
        <v>#REF!</v>
      </c>
    </row>
    <row r="36" spans="1:4" ht="15" customHeight="1">
      <c r="A36" s="174">
        <v>804280</v>
      </c>
      <c r="B36" s="174">
        <v>804280</v>
      </c>
      <c r="C36" s="173" t="s">
        <v>678</v>
      </c>
      <c r="D36" s="38" t="e">
        <f>COUNTIF(DS!AH:AI,'Sales Support'!A36)+COUNTIF(SC!AH:AI,'Sales Support'!A36)+COUNTIF(SMI!AG:AH,'Sales Support'!A36)+COUNTIF(HO!AE:AF,'Sales Support'!A36)+COUNTIF(MARKOM!AH:AI,'Sales Support'!A36)+COUNTIF('IN AND OUT'!#REF!,'Sales Support'!A36)</f>
        <v>#REF!</v>
      </c>
    </row>
    <row r="37" spans="1:4" ht="15" customHeight="1">
      <c r="A37" s="174">
        <v>804282</v>
      </c>
      <c r="B37" s="174">
        <v>804282</v>
      </c>
      <c r="C37" s="173" t="s">
        <v>679</v>
      </c>
      <c r="D37" s="38" t="e">
        <f>COUNTIF(DS!AH:AI,'Sales Support'!A37)+COUNTIF(SC!AH:AI,'Sales Support'!A37)+COUNTIF(SMI!AG:AH,'Sales Support'!A37)+COUNTIF(HO!AE:AF,'Sales Support'!A37)+COUNTIF(MARKOM!AH:AI,'Sales Support'!A37)+COUNTIF('IN AND OUT'!#REF!,'Sales Support'!A37)</f>
        <v>#REF!</v>
      </c>
    </row>
    <row r="38" spans="1:4" ht="15" customHeight="1">
      <c r="A38" s="174">
        <v>804291</v>
      </c>
      <c r="B38" s="174">
        <v>804291</v>
      </c>
      <c r="C38" s="173" t="s">
        <v>680</v>
      </c>
      <c r="D38" s="38" t="e">
        <f>COUNTIF(DS!AH:AI,'Sales Support'!A38)+COUNTIF(SC!AH:AI,'Sales Support'!A38)+COUNTIF(SMI!AG:AH,'Sales Support'!A38)+COUNTIF(HO!AE:AF,'Sales Support'!A38)+COUNTIF(MARKOM!AH:AI,'Sales Support'!A38)+COUNTIF('IN AND OUT'!#REF!,'Sales Support'!A38)</f>
        <v>#REF!</v>
      </c>
    </row>
    <row r="39" spans="1:4" ht="15" customHeight="1">
      <c r="A39" s="174">
        <v>804293</v>
      </c>
      <c r="B39" s="174">
        <v>804293</v>
      </c>
      <c r="C39" s="173" t="s">
        <v>681</v>
      </c>
      <c r="D39" s="38" t="e">
        <f>COUNTIF(DS!AH:AI,'Sales Support'!A39)+COUNTIF(SC!AH:AI,'Sales Support'!A39)+COUNTIF(SMI!AG:AH,'Sales Support'!A39)+COUNTIF(HO!AE:AF,'Sales Support'!A39)+COUNTIF(MARKOM!AH:AI,'Sales Support'!A39)+COUNTIF('IN AND OUT'!#REF!,'Sales Support'!A39)</f>
        <v>#REF!</v>
      </c>
    </row>
    <row r="40" spans="1:4" ht="15" customHeight="1">
      <c r="A40" s="174">
        <v>804295</v>
      </c>
      <c r="B40" s="174">
        <v>804295</v>
      </c>
      <c r="C40" s="173" t="s">
        <v>682</v>
      </c>
      <c r="D40" s="38" t="e">
        <f>COUNTIF(DS!AH:AI,'Sales Support'!A40)+COUNTIF(SC!AH:AI,'Sales Support'!A40)+COUNTIF(SMI!AG:AH,'Sales Support'!A40)+COUNTIF(HO!AE:AF,'Sales Support'!A40)+COUNTIF(MARKOM!AH:AI,'Sales Support'!A40)+COUNTIF('IN AND OUT'!#REF!,'Sales Support'!A40)</f>
        <v>#REF!</v>
      </c>
    </row>
    <row r="41" spans="1:4" ht="15" customHeight="1">
      <c r="A41" s="174">
        <v>804296</v>
      </c>
      <c r="B41" s="174">
        <v>804296</v>
      </c>
      <c r="C41" s="173" t="s">
        <v>683</v>
      </c>
      <c r="D41" s="38" t="e">
        <f>COUNTIF(DS!AH:AI,'Sales Support'!A41)+COUNTIF(SC!AH:AI,'Sales Support'!A41)+COUNTIF(SMI!AG:AH,'Sales Support'!A41)+COUNTIF(HO!AE:AF,'Sales Support'!A41)+COUNTIF(MARKOM!AH:AI,'Sales Support'!A41)+COUNTIF('IN AND OUT'!#REF!,'Sales Support'!A41)</f>
        <v>#REF!</v>
      </c>
    </row>
    <row r="42" spans="1:4" ht="15" customHeight="1">
      <c r="A42" s="174">
        <v>804308</v>
      </c>
      <c r="B42" s="174">
        <v>804308</v>
      </c>
      <c r="C42" s="173" t="s">
        <v>684</v>
      </c>
      <c r="D42" s="38" t="e">
        <f>COUNTIF(DS!AH:AI,'Sales Support'!A42)+COUNTIF(SC!AH:AI,'Sales Support'!A42)+COUNTIF(SMI!AG:AH,'Sales Support'!A42)+COUNTIF(HO!AE:AF,'Sales Support'!A42)+COUNTIF(MARKOM!AH:AI,'Sales Support'!A42)+COUNTIF('IN AND OUT'!#REF!,'Sales Support'!A42)</f>
        <v>#REF!</v>
      </c>
    </row>
    <row r="43" spans="1:4" ht="15" customHeight="1">
      <c r="A43" s="174">
        <v>804309</v>
      </c>
      <c r="B43" s="174">
        <v>804309</v>
      </c>
      <c r="C43" s="173" t="s">
        <v>685</v>
      </c>
      <c r="D43" s="38" t="e">
        <f>COUNTIF(DS!AH:AI,'Sales Support'!A43)+COUNTIF(SC!AH:AI,'Sales Support'!A43)+COUNTIF(SMI!AG:AH,'Sales Support'!A43)+COUNTIF(HO!AE:AF,'Sales Support'!A43)+COUNTIF(MARKOM!AH:AI,'Sales Support'!A43)+COUNTIF('IN AND OUT'!#REF!,'Sales Support'!A43)</f>
        <v>#REF!</v>
      </c>
    </row>
    <row r="44" spans="1:4" ht="15" customHeight="1">
      <c r="A44" s="174">
        <v>804311</v>
      </c>
      <c r="B44" s="174">
        <v>804311</v>
      </c>
      <c r="C44" s="173" t="s">
        <v>686</v>
      </c>
      <c r="D44" s="38" t="e">
        <f>COUNTIF(DS!AH:AI,'Sales Support'!A44)+COUNTIF(SC!AH:AI,'Sales Support'!A44)+COUNTIF(SMI!AG:AH,'Sales Support'!A44)+COUNTIF(HO!AE:AF,'Sales Support'!A44)+COUNTIF(MARKOM!AH:AI,'Sales Support'!A44)+COUNTIF('IN AND OUT'!#REF!,'Sales Support'!A44)</f>
        <v>#REF!</v>
      </c>
    </row>
    <row r="45" spans="1:4" ht="15" customHeight="1">
      <c r="A45" s="174">
        <v>804889</v>
      </c>
      <c r="B45" s="174">
        <v>804889</v>
      </c>
      <c r="C45" s="173" t="s">
        <v>687</v>
      </c>
      <c r="D45" s="38" t="e">
        <f>COUNTIF(DS!AH:AI,'Sales Support'!A45)+COUNTIF(SC!AH:AI,'Sales Support'!A45)+COUNTIF(SMI!AG:AH,'Sales Support'!A45)+COUNTIF(HO!AE:AF,'Sales Support'!A45)+COUNTIF(MARKOM!AH:AI,'Sales Support'!A45)+COUNTIF('IN AND OUT'!#REF!,'Sales Support'!A45)</f>
        <v>#REF!</v>
      </c>
    </row>
    <row r="46" spans="1:4" ht="15" customHeight="1">
      <c r="A46" s="174">
        <v>805256</v>
      </c>
      <c r="B46" s="174">
        <v>805256</v>
      </c>
      <c r="C46" s="173" t="s">
        <v>688</v>
      </c>
      <c r="D46" s="38" t="e">
        <f>COUNTIF(DS!AH:AI,'Sales Support'!A46)+COUNTIF(SC!AH:AI,'Sales Support'!A46)+COUNTIF(SMI!AG:AH,'Sales Support'!A46)+COUNTIF(HO!AE:AF,'Sales Support'!A46)+COUNTIF(MARKOM!AH:AI,'Sales Support'!A46)+COUNTIF('IN AND OUT'!#REF!,'Sales Support'!A46)</f>
        <v>#REF!</v>
      </c>
    </row>
    <row r="47" spans="1:4" ht="15" customHeight="1">
      <c r="A47" s="174">
        <v>805331</v>
      </c>
      <c r="B47" s="174">
        <v>805331</v>
      </c>
      <c r="C47" s="173" t="s">
        <v>690</v>
      </c>
      <c r="D47" s="38">
        <f>COUNTIF(DS!AH:AI,'Sales Support'!A47)+COUNTIF(SC!AH:AI,'Sales Support'!A47)+COUNTIF(SMI!AG:AH,'Sales Support'!A47)+COUNTIF(HO!AE:AF,'Sales Support'!A47)+COUNTIF(MARKOM!AH:AI,'Sales Support'!A47)+COUNTIF('IN AND OUT'!$AH$33:$AH$37,'Sales Support'!A47)</f>
        <v>0</v>
      </c>
    </row>
    <row r="48" spans="1:4" ht="15" customHeight="1">
      <c r="A48" s="174">
        <v>805426</v>
      </c>
      <c r="B48" s="174">
        <v>805426</v>
      </c>
      <c r="C48" s="173" t="s">
        <v>691</v>
      </c>
      <c r="D48" s="38" t="e">
        <f>COUNTIF(DS!AH:AI,'Sales Support'!A48)+COUNTIF(SC!AH:AI,'Sales Support'!A48)+COUNTIF(SMI!AG:AH,'Sales Support'!A48)+COUNTIF(HO!AE:AF,'Sales Support'!A48)+COUNTIF(MARKOM!AH:AI,'Sales Support'!A48)+COUNTIF('IN AND OUT'!#REF!,'Sales Support'!A48)</f>
        <v>#REF!</v>
      </c>
    </row>
    <row r="49" spans="1:4" ht="15" customHeight="1">
      <c r="A49" s="174">
        <v>805468</v>
      </c>
      <c r="B49" s="174">
        <v>805468</v>
      </c>
      <c r="C49" s="173" t="s">
        <v>692</v>
      </c>
      <c r="D49" s="38" t="e">
        <f>COUNTIF(DS!AH:AI,'Sales Support'!A49)+COUNTIF(SC!AH:AI,'Sales Support'!A49)+COUNTIF(SMI!AG:AH,'Sales Support'!A49)+COUNTIF(HO!AE:AF,'Sales Support'!A49)+COUNTIF(MARKOM!AH:AI,'Sales Support'!A49)+COUNTIF('IN AND OUT'!#REF!,'Sales Support'!A49)</f>
        <v>#REF!</v>
      </c>
    </row>
    <row r="50" spans="1:4" ht="15" customHeight="1">
      <c r="A50" s="174">
        <v>805560</v>
      </c>
      <c r="B50" s="174">
        <v>805560</v>
      </c>
      <c r="C50" s="173" t="s">
        <v>694</v>
      </c>
      <c r="D50" s="38" t="e">
        <f>COUNTIF(DS!AH:AI,'Sales Support'!A50)+COUNTIF(SC!AH:AI,'Sales Support'!A50)+COUNTIF(SMI!AG:AH,'Sales Support'!A50)+COUNTIF(HO!AE:AF,'Sales Support'!A50)+COUNTIF(MARKOM!AH:AI,'Sales Support'!A50)+COUNTIF('IN AND OUT'!#REF!,'Sales Support'!A50)</f>
        <v>#REF!</v>
      </c>
    </row>
    <row r="51" spans="1:4" ht="15" customHeight="1">
      <c r="A51" s="174">
        <v>805579</v>
      </c>
      <c r="B51" s="174">
        <v>805579</v>
      </c>
      <c r="C51" s="173" t="s">
        <v>695</v>
      </c>
      <c r="D51" s="38" t="e">
        <f>COUNTIF(DS!AH:AI,'Sales Support'!A51)+COUNTIF(SC!AH:AI,'Sales Support'!A51)+COUNTIF(SMI!AG:AH,'Sales Support'!A51)+COUNTIF(HO!AE:AF,'Sales Support'!A51)+COUNTIF(MARKOM!AH:AI,'Sales Support'!A51)+COUNTIF('IN AND OUT'!#REF!,'Sales Support'!A51)</f>
        <v>#REF!</v>
      </c>
    </row>
    <row r="52" spans="1:4" ht="15" customHeight="1">
      <c r="A52" s="174">
        <v>805838</v>
      </c>
      <c r="B52" s="174">
        <v>805838</v>
      </c>
      <c r="C52" s="173" t="s">
        <v>696</v>
      </c>
      <c r="D52" s="38" t="e">
        <f>COUNTIF(DS!AH:AI,'Sales Support'!A52)+COUNTIF(SC!AH:AI,'Sales Support'!A52)+COUNTIF(SMI!AG:AH,'Sales Support'!A52)+COUNTIF(HO!AE:AF,'Sales Support'!A52)+COUNTIF(MARKOM!AH:AI,'Sales Support'!A52)+COUNTIF('IN AND OUT'!#REF!,'Sales Support'!A52)</f>
        <v>#REF!</v>
      </c>
    </row>
    <row r="53" spans="1:4" ht="15" customHeight="1">
      <c r="A53" s="174">
        <v>805839</v>
      </c>
      <c r="B53" s="174">
        <v>805839</v>
      </c>
      <c r="C53" s="173" t="s">
        <v>697</v>
      </c>
      <c r="D53" s="38" t="e">
        <f>COUNTIF(DS!AH:AI,'Sales Support'!A53)+COUNTIF(SC!AH:AI,'Sales Support'!A53)+COUNTIF(SMI!AG:AH,'Sales Support'!A53)+COUNTIF(HO!AE:AF,'Sales Support'!A53)+COUNTIF(MARKOM!AH:AI,'Sales Support'!A53)+COUNTIF('IN AND OUT'!#REF!,'Sales Support'!A53)</f>
        <v>#REF!</v>
      </c>
    </row>
    <row r="54" spans="1:4" ht="15" customHeight="1">
      <c r="A54" s="174">
        <v>805843</v>
      </c>
      <c r="B54" s="174">
        <v>805843</v>
      </c>
      <c r="C54" s="173" t="s">
        <v>698</v>
      </c>
      <c r="D54" s="38" t="e">
        <f>COUNTIF(DS!AH:AI,'Sales Support'!A54)+COUNTIF(SC!AH:AI,'Sales Support'!A54)+COUNTIF(SMI!AG:AH,'Sales Support'!A54)+COUNTIF(HO!AE:AF,'Sales Support'!A54)+COUNTIF(MARKOM!AH:AI,'Sales Support'!A54)+COUNTIF('IN AND OUT'!#REF!,'Sales Support'!A54)</f>
        <v>#REF!</v>
      </c>
    </row>
    <row r="55" spans="1:4" ht="15" customHeight="1">
      <c r="A55" s="174">
        <v>805874</v>
      </c>
      <c r="B55" s="174">
        <v>805874</v>
      </c>
      <c r="C55" s="173" t="s">
        <v>699</v>
      </c>
      <c r="D55" s="38" t="e">
        <f>COUNTIF(DS!AH:AI,'Sales Support'!A55)+COUNTIF(SC!AH:AI,'Sales Support'!A55)+COUNTIF(SMI!AG:AH,'Sales Support'!A55)+COUNTIF(HO!AE:AF,'Sales Support'!A55)+COUNTIF(MARKOM!AH:AI,'Sales Support'!A55)+COUNTIF('IN AND OUT'!#REF!,'Sales Support'!A55)</f>
        <v>#REF!</v>
      </c>
    </row>
    <row r="56" spans="1:4" ht="15" customHeight="1">
      <c r="A56" s="174">
        <v>806404</v>
      </c>
      <c r="B56" s="174">
        <v>806404</v>
      </c>
      <c r="C56" s="173" t="s">
        <v>700</v>
      </c>
      <c r="D56" s="38" t="e">
        <f>COUNTIF(DS!AH:AI,'Sales Support'!A56)+COUNTIF(SC!AH:AI,'Sales Support'!A56)+COUNTIF(SMI!AG:AH,'Sales Support'!A56)+COUNTIF(HO!AE:AF,'Sales Support'!A56)+COUNTIF(MARKOM!AH:AI,'Sales Support'!A56)+COUNTIF('IN AND OUT'!#REF!,'Sales Support'!A56)</f>
        <v>#REF!</v>
      </c>
    </row>
    <row r="57" spans="1:4" ht="15" customHeight="1">
      <c r="A57" s="174">
        <v>806438</v>
      </c>
      <c r="B57" s="174">
        <v>806438</v>
      </c>
      <c r="C57" s="173" t="s">
        <v>701</v>
      </c>
      <c r="D57" s="38" t="e">
        <f>COUNTIF(DS!AH:AI,'Sales Support'!A57)+COUNTIF(SC!AH:AI,'Sales Support'!A57)+COUNTIF(SMI!AG:AH,'Sales Support'!A57)+COUNTIF(HO!AE:AF,'Sales Support'!A57)+COUNTIF(MARKOM!AH:AI,'Sales Support'!A57)+COUNTIF('IN AND OUT'!#REF!,'Sales Support'!A57)</f>
        <v>#REF!</v>
      </c>
    </row>
    <row r="58" spans="1:4" ht="15" customHeight="1">
      <c r="A58" s="174">
        <v>806503</v>
      </c>
      <c r="B58" s="174">
        <v>806503</v>
      </c>
      <c r="C58" s="173" t="s">
        <v>702</v>
      </c>
      <c r="D58" s="38" t="e">
        <f>COUNTIF(DS!AH:AI,'Sales Support'!A58)+COUNTIF(SC!AH:AI,'Sales Support'!A58)+COUNTIF(SMI!AG:AH,'Sales Support'!A58)+COUNTIF(HO!AE:AF,'Sales Support'!A58)+COUNTIF(MARKOM!AH:AI,'Sales Support'!A58)+COUNTIF('IN AND OUT'!#REF!,'Sales Support'!A58)</f>
        <v>#REF!</v>
      </c>
    </row>
    <row r="59" spans="1:4" ht="15" customHeight="1">
      <c r="A59" s="174">
        <v>806504</v>
      </c>
      <c r="B59" s="174">
        <v>806504</v>
      </c>
      <c r="C59" s="173" t="s">
        <v>703</v>
      </c>
      <c r="D59" s="38" t="e">
        <f>COUNTIF(DS!AH:AI,'Sales Support'!A59)+COUNTIF(SC!AH:AI,'Sales Support'!A59)+COUNTIF(SMI!AG:AH,'Sales Support'!A59)+COUNTIF(HO!AE:AF,'Sales Support'!A59)+COUNTIF(MARKOM!AH:AI,'Sales Support'!A59)+COUNTIF('IN AND OUT'!#REF!,'Sales Support'!A59)</f>
        <v>#REF!</v>
      </c>
    </row>
    <row r="60" spans="1:4" ht="15" customHeight="1">
      <c r="A60" s="174">
        <v>806527</v>
      </c>
      <c r="B60" s="174">
        <v>806527</v>
      </c>
      <c r="C60" s="173" t="s">
        <v>704</v>
      </c>
      <c r="D60" s="38" t="e">
        <f>COUNTIF(DS!AH:AI,'Sales Support'!A60)+COUNTIF(SC!AH:AI,'Sales Support'!A60)+COUNTIF(SMI!AG:AH,'Sales Support'!A60)+COUNTIF(HO!AE:AF,'Sales Support'!A60)+COUNTIF(MARKOM!AH:AI,'Sales Support'!A60)+COUNTIF('IN AND OUT'!#REF!,'Sales Support'!A60)</f>
        <v>#REF!</v>
      </c>
    </row>
    <row r="61" spans="1:4" ht="15" customHeight="1">
      <c r="A61" s="174">
        <v>806529</v>
      </c>
      <c r="B61" s="174">
        <v>806529</v>
      </c>
      <c r="C61" s="173" t="s">
        <v>705</v>
      </c>
      <c r="D61" s="38" t="e">
        <f>COUNTIF(DS!AH:AI,'Sales Support'!A61)+COUNTIF(SC!AH:AI,'Sales Support'!A61)+COUNTIF(SMI!AG:AH,'Sales Support'!A61)+COUNTIF(HO!AE:AF,'Sales Support'!A61)+COUNTIF(MARKOM!AH:AI,'Sales Support'!A61)+COUNTIF('IN AND OUT'!#REF!,'Sales Support'!A61)</f>
        <v>#REF!</v>
      </c>
    </row>
    <row r="62" spans="1:4" ht="15" customHeight="1">
      <c r="A62" s="174">
        <v>806601</v>
      </c>
      <c r="B62" s="174">
        <v>806601</v>
      </c>
      <c r="C62" s="173" t="s">
        <v>706</v>
      </c>
      <c r="D62" s="38" t="e">
        <f>COUNTIF(DS!AH:AI,'Sales Support'!A62)+COUNTIF(SC!AH:AI,'Sales Support'!A62)+COUNTIF(SMI!AG:AH,'Sales Support'!A62)+COUNTIF(HO!AE:AF,'Sales Support'!A62)+COUNTIF(MARKOM!AH:AI,'Sales Support'!A62)+COUNTIF('IN AND OUT'!#REF!,'Sales Support'!A62)</f>
        <v>#REF!</v>
      </c>
    </row>
    <row r="63" spans="1:4" ht="15" customHeight="1">
      <c r="A63" s="174">
        <v>806740</v>
      </c>
      <c r="B63" s="174">
        <v>806740</v>
      </c>
      <c r="C63" s="173" t="s">
        <v>707</v>
      </c>
      <c r="D63" s="38" t="e">
        <f>COUNTIF(DS!AH:AI,'Sales Support'!A63)+COUNTIF(SC!AH:AI,'Sales Support'!A63)+COUNTIF(SMI!AG:AH,'Sales Support'!A63)+COUNTIF(HO!AE:AF,'Sales Support'!A63)+COUNTIF(MARKOM!AH:AI,'Sales Support'!A63)+COUNTIF('IN AND OUT'!#REF!,'Sales Support'!A63)</f>
        <v>#REF!</v>
      </c>
    </row>
    <row r="64" spans="1:4" ht="15" customHeight="1">
      <c r="A64" s="174">
        <v>806741</v>
      </c>
      <c r="B64" s="174">
        <v>806741</v>
      </c>
      <c r="C64" s="173" t="s">
        <v>708</v>
      </c>
      <c r="D64" s="38" t="e">
        <f>COUNTIF(DS!AH:AI,'Sales Support'!A64)+COUNTIF(SC!AH:AI,'Sales Support'!A64)+COUNTIF(SMI!AG:AH,'Sales Support'!A64)+COUNTIF(HO!AE:AF,'Sales Support'!A64)+COUNTIF(MARKOM!AH:AI,'Sales Support'!A64)+COUNTIF('IN AND OUT'!#REF!,'Sales Support'!A64)</f>
        <v>#REF!</v>
      </c>
    </row>
    <row r="65" spans="1:4" ht="15" customHeight="1">
      <c r="A65" s="174">
        <v>806742</v>
      </c>
      <c r="B65" s="174">
        <v>806742</v>
      </c>
      <c r="C65" s="173" t="s">
        <v>709</v>
      </c>
      <c r="D65" s="38" t="e">
        <f>COUNTIF(DS!AH:AI,'Sales Support'!A65)+COUNTIF(SC!AH:AI,'Sales Support'!A65)+COUNTIF(SMI!AG:AH,'Sales Support'!A65)+COUNTIF(HO!AE:AF,'Sales Support'!A65)+COUNTIF(MARKOM!AH:AI,'Sales Support'!A65)+COUNTIF('IN AND OUT'!#REF!,'Sales Support'!A65)</f>
        <v>#REF!</v>
      </c>
    </row>
    <row r="66" spans="1:4" ht="15" customHeight="1">
      <c r="A66" s="174">
        <v>806743</v>
      </c>
      <c r="B66" s="174">
        <v>806743</v>
      </c>
      <c r="C66" s="173" t="s">
        <v>710</v>
      </c>
      <c r="D66" s="38" t="e">
        <f>COUNTIF(DS!AH:AI,'Sales Support'!A66)+COUNTIF(SC!AH:AI,'Sales Support'!A66)+COUNTIF(SMI!AG:AH,'Sales Support'!A66)+COUNTIF(HO!AE:AF,'Sales Support'!A66)+COUNTIF(MARKOM!AH:AI,'Sales Support'!A66)+COUNTIF('IN AND OUT'!#REF!,'Sales Support'!A66)</f>
        <v>#REF!</v>
      </c>
    </row>
    <row r="67" spans="1:4" ht="15" customHeight="1">
      <c r="A67" s="174">
        <v>806744</v>
      </c>
      <c r="B67" s="174">
        <v>806744</v>
      </c>
      <c r="C67" s="173" t="s">
        <v>711</v>
      </c>
      <c r="D67" s="38" t="e">
        <f>COUNTIF(DS!AH:AI,'Sales Support'!A67)+COUNTIF(SC!AH:AI,'Sales Support'!A67)+COUNTIF(SMI!AG:AH,'Sales Support'!A67)+COUNTIF(HO!AE:AF,'Sales Support'!A67)+COUNTIF(MARKOM!AH:AI,'Sales Support'!A67)+COUNTIF('IN AND OUT'!#REF!,'Sales Support'!A67)</f>
        <v>#REF!</v>
      </c>
    </row>
    <row r="68" spans="1:4" ht="15" customHeight="1">
      <c r="A68" s="174">
        <v>806745</v>
      </c>
      <c r="B68" s="174">
        <v>806745</v>
      </c>
      <c r="C68" s="173" t="s">
        <v>712</v>
      </c>
      <c r="D68" s="38" t="e">
        <f>COUNTIF(DS!AH:AI,'Sales Support'!A68)+COUNTIF(SC!AH:AI,'Sales Support'!A68)+COUNTIF(SMI!AG:AH,'Sales Support'!A68)+COUNTIF(HO!AE:AF,'Sales Support'!A68)+COUNTIF(MARKOM!AH:AI,'Sales Support'!A68)+COUNTIF('IN AND OUT'!#REF!,'Sales Support'!A68)</f>
        <v>#REF!</v>
      </c>
    </row>
    <row r="69" spans="1:4" ht="15" customHeight="1">
      <c r="A69" s="174">
        <v>806746</v>
      </c>
      <c r="B69" s="174">
        <v>806746</v>
      </c>
      <c r="C69" s="173" t="s">
        <v>713</v>
      </c>
      <c r="D69" s="38" t="e">
        <f>COUNTIF(DS!AH:AI,'Sales Support'!A69)+COUNTIF(SC!AH:AI,'Sales Support'!A69)+COUNTIF(SMI!AG:AH,'Sales Support'!A69)+COUNTIF(HO!AE:AF,'Sales Support'!A69)+COUNTIF(MARKOM!AH:AI,'Sales Support'!A69)+COUNTIF('IN AND OUT'!#REF!,'Sales Support'!A69)</f>
        <v>#REF!</v>
      </c>
    </row>
    <row r="70" spans="1:4" ht="15" customHeight="1">
      <c r="A70" s="174">
        <v>806747</v>
      </c>
      <c r="B70" s="174">
        <v>806747</v>
      </c>
      <c r="C70" s="173" t="s">
        <v>714</v>
      </c>
      <c r="D70" s="38" t="e">
        <f>COUNTIF(DS!AH:AI,'Sales Support'!A70)+COUNTIF(SC!AH:AI,'Sales Support'!A70)+COUNTIF(SMI!AG:AH,'Sales Support'!A70)+COUNTIF(HO!AE:AF,'Sales Support'!A70)+COUNTIF(MARKOM!AH:AI,'Sales Support'!A70)+COUNTIF('IN AND OUT'!#REF!,'Sales Support'!A70)</f>
        <v>#REF!</v>
      </c>
    </row>
    <row r="71" spans="1:4" ht="15" customHeight="1">
      <c r="A71" s="174">
        <v>806750</v>
      </c>
      <c r="B71" s="174">
        <v>806750</v>
      </c>
      <c r="C71" s="173" t="s">
        <v>715</v>
      </c>
      <c r="D71" s="38" t="e">
        <f>COUNTIF(DS!AH:AI,'Sales Support'!A71)+COUNTIF(SC!AH:AI,'Sales Support'!A71)+COUNTIF(SMI!AG:AH,'Sales Support'!A71)+COUNTIF(HO!AE:AF,'Sales Support'!A71)+COUNTIF(MARKOM!AH:AI,'Sales Support'!A71)+COUNTIF('IN AND OUT'!#REF!,'Sales Support'!A71)</f>
        <v>#REF!</v>
      </c>
    </row>
    <row r="72" spans="1:4" ht="15" customHeight="1">
      <c r="A72" s="174">
        <v>806751</v>
      </c>
      <c r="B72" s="174">
        <v>806751</v>
      </c>
      <c r="C72" s="173" t="s">
        <v>716</v>
      </c>
      <c r="D72" s="38" t="e">
        <f>COUNTIF(DS!AH:AI,'Sales Support'!A72)+COUNTIF(SC!AH:AI,'Sales Support'!A72)+COUNTIF(SMI!AG:AH,'Sales Support'!A72)+COUNTIF(HO!AE:AF,'Sales Support'!A72)+COUNTIF(MARKOM!AH:AI,'Sales Support'!A72)+COUNTIF('IN AND OUT'!#REF!,'Sales Support'!A72)</f>
        <v>#REF!</v>
      </c>
    </row>
    <row r="73" spans="1:4" ht="15" customHeight="1">
      <c r="A73" s="174">
        <v>806752</v>
      </c>
      <c r="B73" s="174">
        <v>806752</v>
      </c>
      <c r="C73" s="173" t="s">
        <v>717</v>
      </c>
      <c r="D73" s="38" t="e">
        <f>COUNTIF(DS!AH:AI,'Sales Support'!A73)+COUNTIF(SC!AH:AI,'Sales Support'!A73)+COUNTIF(SMI!AG:AH,'Sales Support'!A73)+COUNTIF(HO!AE:AF,'Sales Support'!A73)+COUNTIF(MARKOM!AH:AI,'Sales Support'!A73)+COUNTIF('IN AND OUT'!#REF!,'Sales Support'!A73)</f>
        <v>#REF!</v>
      </c>
    </row>
    <row r="74" spans="1:4" ht="15" customHeight="1">
      <c r="A74" s="174">
        <v>806753</v>
      </c>
      <c r="B74" s="174">
        <v>806753</v>
      </c>
      <c r="C74" s="173" t="s">
        <v>718</v>
      </c>
      <c r="D74" s="38" t="e">
        <f>COUNTIF(DS!AH:AI,'Sales Support'!A74)+COUNTIF(SC!AH:AI,'Sales Support'!A74)+COUNTIF(SMI!AG:AH,'Sales Support'!A74)+COUNTIF(HO!AE:AF,'Sales Support'!A74)+COUNTIF(MARKOM!AH:AI,'Sales Support'!A74)+COUNTIF('IN AND OUT'!#REF!,'Sales Support'!A74)</f>
        <v>#REF!</v>
      </c>
    </row>
    <row r="75" spans="1:4" ht="15" customHeight="1">
      <c r="A75" s="174">
        <v>806754</v>
      </c>
      <c r="B75" s="174">
        <v>806754</v>
      </c>
      <c r="C75" s="173" t="s">
        <v>719</v>
      </c>
      <c r="D75" s="38" t="e">
        <f>COUNTIF(DS!AH:AI,'Sales Support'!A75)+COUNTIF(SC!AH:AI,'Sales Support'!A75)+COUNTIF(SMI!AG:AH,'Sales Support'!A75)+COUNTIF(HO!AE:AF,'Sales Support'!A75)+COUNTIF(MARKOM!AH:AI,'Sales Support'!A75)+COUNTIF('IN AND OUT'!#REF!,'Sales Support'!A75)</f>
        <v>#REF!</v>
      </c>
    </row>
    <row r="76" spans="1:4" ht="15" customHeight="1">
      <c r="A76" s="174">
        <v>806755</v>
      </c>
      <c r="B76" s="174">
        <v>806755</v>
      </c>
      <c r="C76" s="173" t="s">
        <v>720</v>
      </c>
      <c r="D76" s="38" t="e">
        <f>COUNTIF(DS!AH:AI,'Sales Support'!A76)+COUNTIF(SC!AH:AI,'Sales Support'!A76)+COUNTIF(SMI!AG:AH,'Sales Support'!A76)+COUNTIF(HO!AE:AF,'Sales Support'!A76)+COUNTIF(MARKOM!AH:AI,'Sales Support'!A76)+COUNTIF('IN AND OUT'!#REF!,'Sales Support'!A76)</f>
        <v>#REF!</v>
      </c>
    </row>
    <row r="77" spans="1:4" ht="15" customHeight="1">
      <c r="A77" s="174">
        <v>806756</v>
      </c>
      <c r="B77" s="174">
        <v>806756</v>
      </c>
      <c r="C77" s="173" t="s">
        <v>721</v>
      </c>
      <c r="D77" s="38" t="e">
        <f>COUNTIF(DS!AH:AI,'Sales Support'!A77)+COUNTIF(SC!AH:AI,'Sales Support'!A77)+COUNTIF(SMI!AG:AH,'Sales Support'!A77)+COUNTIF(HO!AE:AF,'Sales Support'!A77)+COUNTIF(MARKOM!AH:AI,'Sales Support'!A77)+COUNTIF('IN AND OUT'!#REF!,'Sales Support'!A77)</f>
        <v>#REF!</v>
      </c>
    </row>
    <row r="78" spans="1:4" ht="15" customHeight="1">
      <c r="A78" s="174">
        <v>806757</v>
      </c>
      <c r="B78" s="174">
        <v>806757</v>
      </c>
      <c r="C78" s="173" t="s">
        <v>722</v>
      </c>
      <c r="D78" s="38" t="e">
        <f>COUNTIF(DS!AH:AI,'Sales Support'!A78)+COUNTIF(SC!AH:AI,'Sales Support'!A78)+COUNTIF(SMI!AG:AH,'Sales Support'!A78)+COUNTIF(HO!AE:AF,'Sales Support'!A78)+COUNTIF(MARKOM!AH:AI,'Sales Support'!A78)+COUNTIF('IN AND OUT'!#REF!,'Sales Support'!A78)</f>
        <v>#REF!</v>
      </c>
    </row>
    <row r="79" spans="1:4" ht="15" customHeight="1">
      <c r="A79" s="174">
        <v>806758</v>
      </c>
      <c r="B79" s="174">
        <v>806758</v>
      </c>
      <c r="C79" s="173" t="s">
        <v>723</v>
      </c>
      <c r="D79" s="38" t="e">
        <f>COUNTIF(DS!AH:AI,'Sales Support'!A79)+COUNTIF(SC!AH:AI,'Sales Support'!A79)+COUNTIF(SMI!AG:AH,'Sales Support'!A79)+COUNTIF(HO!AE:AF,'Sales Support'!A79)+COUNTIF(MARKOM!AH:AI,'Sales Support'!A79)+COUNTIF('IN AND OUT'!#REF!,'Sales Support'!A79)</f>
        <v>#REF!</v>
      </c>
    </row>
    <row r="80" spans="1:4" ht="15" customHeight="1">
      <c r="A80" s="174">
        <v>806768</v>
      </c>
      <c r="B80" s="174">
        <v>806768</v>
      </c>
      <c r="C80" s="173" t="s">
        <v>724</v>
      </c>
      <c r="D80" s="38" t="e">
        <f>COUNTIF(DS!AH:AI,'Sales Support'!A80)+COUNTIF(SC!AH:AI,'Sales Support'!A80)+COUNTIF(SMI!AG:AH,'Sales Support'!A80)+COUNTIF(HO!AE:AF,'Sales Support'!A80)+COUNTIF(MARKOM!AH:AI,'Sales Support'!A80)+COUNTIF('IN AND OUT'!#REF!,'Sales Support'!A80)</f>
        <v>#REF!</v>
      </c>
    </row>
    <row r="81" spans="1:4" ht="15" customHeight="1">
      <c r="A81" s="174">
        <v>806769</v>
      </c>
      <c r="B81" s="174">
        <v>806769</v>
      </c>
      <c r="C81" s="173" t="s">
        <v>725</v>
      </c>
      <c r="D81" s="38" t="e">
        <f>COUNTIF(DS!AH:AI,'Sales Support'!A81)+COUNTIF(SC!AH:AI,'Sales Support'!A81)+COUNTIF(SMI!AG:AH,'Sales Support'!A81)+COUNTIF(HO!AE:AF,'Sales Support'!A81)+COUNTIF(MARKOM!AH:AI,'Sales Support'!A81)+COUNTIF('IN AND OUT'!#REF!,'Sales Support'!A81)</f>
        <v>#REF!</v>
      </c>
    </row>
    <row r="82" spans="1:4" ht="15" customHeight="1">
      <c r="A82" s="174">
        <v>806770</v>
      </c>
      <c r="B82" s="174">
        <v>806770</v>
      </c>
      <c r="C82" s="173" t="s">
        <v>726</v>
      </c>
      <c r="D82" s="38" t="e">
        <f>COUNTIF(DS!AH:AI,'Sales Support'!A82)+COUNTIF(SC!AH:AI,'Sales Support'!A82)+COUNTIF(SMI!AG:AH,'Sales Support'!A82)+COUNTIF(HO!AE:AF,'Sales Support'!A82)+COUNTIF(MARKOM!AH:AI,'Sales Support'!A82)+COUNTIF('IN AND OUT'!#REF!,'Sales Support'!A82)</f>
        <v>#REF!</v>
      </c>
    </row>
    <row r="83" spans="1:4" ht="15" customHeight="1">
      <c r="A83" s="174">
        <v>806772</v>
      </c>
      <c r="B83" s="174">
        <v>806772</v>
      </c>
      <c r="C83" s="173" t="s">
        <v>727</v>
      </c>
      <c r="D83" s="38" t="e">
        <f>COUNTIF(DS!AH:AI,'Sales Support'!A83)+COUNTIF(SC!AH:AI,'Sales Support'!A83)+COUNTIF(SMI!AG:AH,'Sales Support'!A83)+COUNTIF(HO!AE:AF,'Sales Support'!A83)+COUNTIF(MARKOM!AH:AI,'Sales Support'!A83)+COUNTIF('IN AND OUT'!#REF!,'Sales Support'!A83)</f>
        <v>#REF!</v>
      </c>
    </row>
    <row r="84" spans="1:4" ht="15" customHeight="1">
      <c r="A84" s="174">
        <v>806773</v>
      </c>
      <c r="B84" s="174">
        <v>806773</v>
      </c>
      <c r="C84" s="173" t="s">
        <v>728</v>
      </c>
      <c r="D84" s="38" t="e">
        <f>COUNTIF(DS!AH:AI,'Sales Support'!A84)+COUNTIF(SC!AH:AI,'Sales Support'!A84)+COUNTIF(SMI!AG:AH,'Sales Support'!A84)+COUNTIF(HO!AE:AF,'Sales Support'!A84)+COUNTIF(MARKOM!AH:AI,'Sales Support'!A84)+COUNTIF('IN AND OUT'!#REF!,'Sales Support'!A84)</f>
        <v>#REF!</v>
      </c>
    </row>
    <row r="85" spans="1:4" ht="15" customHeight="1">
      <c r="A85" s="174">
        <v>806774</v>
      </c>
      <c r="B85" s="174">
        <v>806774</v>
      </c>
      <c r="C85" s="173" t="s">
        <v>729</v>
      </c>
      <c r="D85" s="38" t="e">
        <f>COUNTIF(DS!AH:AI,'Sales Support'!A85)+COUNTIF(SC!AH:AI,'Sales Support'!A85)+COUNTIF(SMI!AG:AH,'Sales Support'!A85)+COUNTIF(HO!AE:AF,'Sales Support'!A85)+COUNTIF(MARKOM!AH:AI,'Sales Support'!A85)+COUNTIF('IN AND OUT'!#REF!,'Sales Support'!A85)</f>
        <v>#REF!</v>
      </c>
    </row>
    <row r="86" spans="1:4" ht="15" customHeight="1">
      <c r="A86" s="174">
        <v>806775</v>
      </c>
      <c r="B86" s="174">
        <v>806775</v>
      </c>
      <c r="C86" s="173" t="s">
        <v>730</v>
      </c>
      <c r="D86" s="38" t="e">
        <f>COUNTIF(DS!AH:AI,'Sales Support'!A86)+COUNTIF(SC!AH:AI,'Sales Support'!A86)+COUNTIF(SMI!AG:AH,'Sales Support'!A86)+COUNTIF(HO!AE:AF,'Sales Support'!A86)+COUNTIF(MARKOM!AH:AI,'Sales Support'!A86)+COUNTIF('IN AND OUT'!#REF!,'Sales Support'!A86)</f>
        <v>#REF!</v>
      </c>
    </row>
    <row r="87" spans="1:4" ht="15" customHeight="1">
      <c r="A87" s="174">
        <v>806776</v>
      </c>
      <c r="B87" s="174">
        <v>806776</v>
      </c>
      <c r="C87" s="173" t="s">
        <v>731</v>
      </c>
      <c r="D87" s="38" t="e">
        <f>COUNTIF(DS!AH:AI,'Sales Support'!A87)+COUNTIF(SC!AH:AI,'Sales Support'!A87)+COUNTIF(SMI!AG:AH,'Sales Support'!A87)+COUNTIF(HO!AE:AF,'Sales Support'!A87)+COUNTIF(MARKOM!AH:AI,'Sales Support'!A87)+COUNTIF('IN AND OUT'!#REF!,'Sales Support'!A87)</f>
        <v>#REF!</v>
      </c>
    </row>
    <row r="88" spans="1:4" ht="15" customHeight="1">
      <c r="A88" s="174">
        <v>806777</v>
      </c>
      <c r="B88" s="174">
        <v>806777</v>
      </c>
      <c r="C88" s="173" t="s">
        <v>732</v>
      </c>
      <c r="D88" s="38" t="e">
        <f>COUNTIF(DS!AH:AI,'Sales Support'!A88)+COUNTIF(SC!AH:AI,'Sales Support'!A88)+COUNTIF(SMI!AG:AH,'Sales Support'!A88)+COUNTIF(HO!AE:AF,'Sales Support'!A88)+COUNTIF(MARKOM!AH:AI,'Sales Support'!A88)+COUNTIF('IN AND OUT'!#REF!,'Sales Support'!A88)</f>
        <v>#REF!</v>
      </c>
    </row>
    <row r="89" spans="1:4" ht="15" customHeight="1">
      <c r="A89" s="174">
        <v>806778</v>
      </c>
      <c r="B89" s="174">
        <v>806778</v>
      </c>
      <c r="C89" s="173" t="s">
        <v>733</v>
      </c>
      <c r="D89" s="38" t="e">
        <f>COUNTIF(DS!AH:AI,'Sales Support'!A89)+COUNTIF(SC!AH:AI,'Sales Support'!A89)+COUNTIF(SMI!AG:AH,'Sales Support'!A89)+COUNTIF(HO!AE:AF,'Sales Support'!A89)+COUNTIF(MARKOM!AH:AI,'Sales Support'!A89)+COUNTIF('IN AND OUT'!#REF!,'Sales Support'!A89)</f>
        <v>#REF!</v>
      </c>
    </row>
    <row r="90" spans="1:4" ht="15" customHeight="1">
      <c r="A90" s="174">
        <v>806779</v>
      </c>
      <c r="B90" s="174">
        <v>806779</v>
      </c>
      <c r="C90" s="173" t="s">
        <v>734</v>
      </c>
      <c r="D90" s="38" t="e">
        <f>COUNTIF(DS!AH:AI,'Sales Support'!A90)+COUNTIF(SC!AH:AI,'Sales Support'!A90)+COUNTIF(SMI!AG:AH,'Sales Support'!A90)+COUNTIF(HO!AE:AF,'Sales Support'!A90)+COUNTIF(MARKOM!AH:AI,'Sales Support'!A90)+COUNTIF('IN AND OUT'!#REF!,'Sales Support'!A90)</f>
        <v>#REF!</v>
      </c>
    </row>
    <row r="91" spans="1:4" ht="15" customHeight="1">
      <c r="A91" s="174">
        <v>806780</v>
      </c>
      <c r="B91" s="174">
        <v>806780</v>
      </c>
      <c r="C91" s="173" t="s">
        <v>735</v>
      </c>
      <c r="D91" s="38" t="e">
        <f>COUNTIF(DS!AH:AI,'Sales Support'!A91)+COUNTIF(SC!AH:AI,'Sales Support'!A91)+COUNTIF(SMI!AG:AH,'Sales Support'!A91)+COUNTIF(HO!AE:AF,'Sales Support'!A91)+COUNTIF(MARKOM!AH:AI,'Sales Support'!A91)+COUNTIF('IN AND OUT'!#REF!,'Sales Support'!A91)</f>
        <v>#REF!</v>
      </c>
    </row>
    <row r="92" spans="1:4" ht="15" customHeight="1">
      <c r="A92" s="174">
        <v>806783</v>
      </c>
      <c r="B92" s="174">
        <v>806783</v>
      </c>
      <c r="C92" s="173" t="s">
        <v>699</v>
      </c>
      <c r="D92" s="38" t="e">
        <f>COUNTIF(DS!AH:AI,'Sales Support'!A92)+COUNTIF(SC!AH:AI,'Sales Support'!A92)+COUNTIF(SMI!AG:AH,'Sales Support'!A92)+COUNTIF(HO!AE:AF,'Sales Support'!A92)+COUNTIF(MARKOM!AH:AI,'Sales Support'!A92)+COUNTIF('IN AND OUT'!#REF!,'Sales Support'!A92)</f>
        <v>#REF!</v>
      </c>
    </row>
    <row r="93" spans="1:4" ht="15" customHeight="1">
      <c r="A93" s="174">
        <v>806951</v>
      </c>
      <c r="B93" s="174">
        <v>806951</v>
      </c>
      <c r="C93" s="173" t="s">
        <v>736</v>
      </c>
      <c r="D93" s="38" t="e">
        <f>COUNTIF(DS!AH:AI,'Sales Support'!A93)+COUNTIF(SC!AH:AI,'Sales Support'!A93)+COUNTIF(SMI!AG:AH,'Sales Support'!A93)+COUNTIF(HO!AE:AF,'Sales Support'!A93)+COUNTIF(MARKOM!AH:AI,'Sales Support'!A93)+COUNTIF('IN AND OUT'!#REF!,'Sales Support'!A93)</f>
        <v>#REF!</v>
      </c>
    </row>
    <row r="94" spans="1:4" ht="15" customHeight="1">
      <c r="A94" s="174">
        <v>806984</v>
      </c>
      <c r="B94" s="174">
        <v>806984</v>
      </c>
      <c r="C94" s="173" t="s">
        <v>737</v>
      </c>
      <c r="D94" s="38" t="e">
        <f>COUNTIF(DS!AH:AI,'Sales Support'!A94)+COUNTIF(SC!AH:AI,'Sales Support'!A94)+COUNTIF(SMI!AG:AH,'Sales Support'!A94)+COUNTIF(HO!AE:AF,'Sales Support'!A94)+COUNTIF(MARKOM!AH:AI,'Sales Support'!A94)+COUNTIF('IN AND OUT'!#REF!,'Sales Support'!A94)</f>
        <v>#REF!</v>
      </c>
    </row>
    <row r="95" spans="1:4" ht="15" customHeight="1">
      <c r="A95" s="174">
        <v>806985</v>
      </c>
      <c r="B95" s="174">
        <v>806985</v>
      </c>
      <c r="C95" s="173" t="s">
        <v>738</v>
      </c>
      <c r="D95" s="38" t="e">
        <f>COUNTIF(DS!AH:AI,'Sales Support'!A95)+COUNTIF(SC!AH:AI,'Sales Support'!A95)+COUNTIF(SMI!AG:AH,'Sales Support'!A95)+COUNTIF(HO!AE:AF,'Sales Support'!A95)+COUNTIF(MARKOM!AH:AI,'Sales Support'!A95)+COUNTIF('IN AND OUT'!#REF!,'Sales Support'!A95)</f>
        <v>#REF!</v>
      </c>
    </row>
    <row r="96" spans="1:4" ht="15" customHeight="1">
      <c r="A96" s="174">
        <v>806987</v>
      </c>
      <c r="B96" s="174">
        <v>806987</v>
      </c>
      <c r="C96" s="173" t="s">
        <v>739</v>
      </c>
      <c r="D96" s="38" t="e">
        <f>COUNTIF(DS!AH:AI,'Sales Support'!A96)+COUNTIF(SC!AH:AI,'Sales Support'!A96)+COUNTIF(SMI!AG:AH,'Sales Support'!A96)+COUNTIF(HO!AE:AF,'Sales Support'!A96)+COUNTIF(MARKOM!AH:AI,'Sales Support'!A96)+COUNTIF('IN AND OUT'!#REF!,'Sales Support'!A96)</f>
        <v>#REF!</v>
      </c>
    </row>
    <row r="97" spans="1:4" ht="15" customHeight="1">
      <c r="A97" s="174">
        <v>806992</v>
      </c>
      <c r="B97" s="174">
        <v>806992</v>
      </c>
      <c r="C97" s="173" t="s">
        <v>740</v>
      </c>
      <c r="D97" s="38" t="e">
        <f>COUNTIF(DS!AH:AI,'Sales Support'!A97)+COUNTIF(SC!AH:AI,'Sales Support'!A97)+COUNTIF(SMI!AG:AH,'Sales Support'!A97)+COUNTIF(HO!AE:AF,'Sales Support'!A97)+COUNTIF(MARKOM!AH:AI,'Sales Support'!A97)+COUNTIF('IN AND OUT'!#REF!,'Sales Support'!A97)</f>
        <v>#REF!</v>
      </c>
    </row>
    <row r="98" spans="1:4" ht="15" customHeight="1">
      <c r="A98" s="174">
        <v>807149</v>
      </c>
      <c r="B98" s="174">
        <v>807149</v>
      </c>
      <c r="C98" s="173" t="s">
        <v>741</v>
      </c>
      <c r="D98" s="38" t="e">
        <f>COUNTIF(DS!AH:AI,'Sales Support'!A98)+COUNTIF(SC!AH:AI,'Sales Support'!A98)+COUNTIF(SMI!AG:AH,'Sales Support'!A98)+COUNTIF(HO!AE:AF,'Sales Support'!A98)+COUNTIF(MARKOM!AH:AI,'Sales Support'!A98)+COUNTIF('IN AND OUT'!#REF!,'Sales Support'!A98)</f>
        <v>#REF!</v>
      </c>
    </row>
    <row r="99" spans="1:4" ht="15" customHeight="1">
      <c r="A99" s="174">
        <v>807304</v>
      </c>
      <c r="B99" s="174">
        <v>807304</v>
      </c>
      <c r="C99" s="173" t="s">
        <v>742</v>
      </c>
      <c r="D99" s="38" t="e">
        <f>COUNTIF(DS!AH:AI,'Sales Support'!A99)+COUNTIF(SC!AH:AI,'Sales Support'!A99)+COUNTIF(SMI!AG:AH,'Sales Support'!A99)+COUNTIF(HO!AE:AF,'Sales Support'!A99)+COUNTIF(MARKOM!AH:AI,'Sales Support'!A99)+COUNTIF('IN AND OUT'!#REF!,'Sales Support'!A99)</f>
        <v>#REF!</v>
      </c>
    </row>
    <row r="100" spans="1:4" ht="15" customHeight="1">
      <c r="A100" s="174">
        <v>807312</v>
      </c>
      <c r="B100" s="174">
        <v>807312</v>
      </c>
      <c r="C100" s="173" t="s">
        <v>743</v>
      </c>
      <c r="D100" s="38" t="e">
        <f>COUNTIF(DS!AH:AI,'Sales Support'!A100)+COUNTIF(SC!AH:AI,'Sales Support'!A100)+COUNTIF(SMI!AG:AH,'Sales Support'!A100)+COUNTIF(HO!AE:AF,'Sales Support'!A100)+COUNTIF(MARKOM!AH:AI,'Sales Support'!A100)+COUNTIF('IN AND OUT'!#REF!,'Sales Support'!A100)</f>
        <v>#REF!</v>
      </c>
    </row>
    <row r="101" spans="1:4" ht="15" customHeight="1">
      <c r="A101" s="174">
        <v>807438</v>
      </c>
      <c r="B101" s="174">
        <v>807438</v>
      </c>
      <c r="C101" s="173" t="s">
        <v>744</v>
      </c>
      <c r="D101" s="38" t="e">
        <f>COUNTIF(DS!AH:AI,'Sales Support'!A101)+COUNTIF(SC!AH:AI,'Sales Support'!A101)+COUNTIF(SMI!AG:AH,'Sales Support'!A101)+COUNTIF(HO!AE:AF,'Sales Support'!A101)+COUNTIF(MARKOM!AH:AI,'Sales Support'!A101)+COUNTIF('IN AND OUT'!#REF!,'Sales Support'!A101)</f>
        <v>#REF!</v>
      </c>
    </row>
    <row r="102" spans="1:4" ht="15" customHeight="1">
      <c r="A102" s="174">
        <v>807501</v>
      </c>
      <c r="B102" s="174">
        <v>807501</v>
      </c>
      <c r="C102" s="173" t="s">
        <v>745</v>
      </c>
      <c r="D102" s="38" t="e">
        <f>COUNTIF(DS!AH:AI,'Sales Support'!A102)+COUNTIF(SC!AH:AI,'Sales Support'!A102)+COUNTIF(SMI!AG:AH,'Sales Support'!A102)+COUNTIF(HO!AE:AF,'Sales Support'!A102)+COUNTIF(MARKOM!AH:AI,'Sales Support'!A102)+COUNTIF('IN AND OUT'!#REF!,'Sales Support'!A102)</f>
        <v>#REF!</v>
      </c>
    </row>
    <row r="103" spans="1:4" ht="15" customHeight="1">
      <c r="A103" s="174">
        <v>807535</v>
      </c>
      <c r="B103" s="174">
        <v>807535</v>
      </c>
      <c r="C103" s="173" t="s">
        <v>746</v>
      </c>
      <c r="D103" s="38" t="e">
        <f>COUNTIF(DS!AH:AI,'Sales Support'!A103)+COUNTIF(SC!AH:AI,'Sales Support'!A103)+COUNTIF(SMI!AG:AH,'Sales Support'!A103)+COUNTIF(HO!AE:AF,'Sales Support'!A103)+COUNTIF(MARKOM!AH:AI,'Sales Support'!A103)+COUNTIF('IN AND OUT'!#REF!,'Sales Support'!A103)</f>
        <v>#REF!</v>
      </c>
    </row>
    <row r="104" spans="1:4" ht="15" customHeight="1">
      <c r="A104" s="174">
        <v>807609</v>
      </c>
      <c r="B104" s="174">
        <v>807609</v>
      </c>
      <c r="C104" s="173" t="s">
        <v>747</v>
      </c>
      <c r="D104" s="38" t="e">
        <f>COUNTIF(DS!AH:AI,'Sales Support'!A104)+COUNTIF(SC!AH:AI,'Sales Support'!A104)+COUNTIF(SMI!AG:AH,'Sales Support'!A104)+COUNTIF(HO!AE:AF,'Sales Support'!A104)+COUNTIF(MARKOM!AH:AI,'Sales Support'!A104)+COUNTIF('IN AND OUT'!#REF!,'Sales Support'!A104)</f>
        <v>#REF!</v>
      </c>
    </row>
    <row r="105" spans="1:4" ht="15" customHeight="1">
      <c r="A105" s="174">
        <v>807648</v>
      </c>
      <c r="B105" s="174">
        <v>807648</v>
      </c>
      <c r="C105" s="173" t="s">
        <v>748</v>
      </c>
      <c r="D105" s="38" t="e">
        <f>COUNTIF(DS!AH:AI,'Sales Support'!A105)+COUNTIF(SC!AH:AI,'Sales Support'!A105)+COUNTIF(SMI!AG:AH,'Sales Support'!A105)+COUNTIF(HO!AE:AF,'Sales Support'!A105)+COUNTIF(MARKOM!AH:AI,'Sales Support'!A105)+COUNTIF('IN AND OUT'!#REF!,'Sales Support'!A105)</f>
        <v>#REF!</v>
      </c>
    </row>
    <row r="106" spans="1:4" ht="15" customHeight="1">
      <c r="A106" s="174">
        <v>807650</v>
      </c>
      <c r="B106" s="174">
        <v>807650</v>
      </c>
      <c r="C106" s="173" t="s">
        <v>749</v>
      </c>
      <c r="D106" s="38" t="e">
        <f>COUNTIF(DS!AH:AI,'Sales Support'!A106)+COUNTIF(SC!AH:AI,'Sales Support'!A106)+COUNTIF(SMI!AG:AH,'Sales Support'!A106)+COUNTIF(HO!AE:AF,'Sales Support'!A106)+COUNTIF(MARKOM!AH:AI,'Sales Support'!A106)+COUNTIF('IN AND OUT'!#REF!,'Sales Support'!A106)</f>
        <v>#REF!</v>
      </c>
    </row>
    <row r="107" spans="1:4" ht="15" customHeight="1">
      <c r="A107" s="174">
        <v>807816</v>
      </c>
      <c r="B107" s="174">
        <v>807816</v>
      </c>
      <c r="C107" s="173" t="s">
        <v>750</v>
      </c>
      <c r="D107" s="38" t="e">
        <f>COUNTIF(DS!AH:AI,'Sales Support'!A107)+COUNTIF(SC!AH:AI,'Sales Support'!A107)+COUNTIF(SMI!AG:AH,'Sales Support'!A107)+COUNTIF(HO!AE:AF,'Sales Support'!A107)+COUNTIF(MARKOM!AH:AI,'Sales Support'!A107)+COUNTIF('IN AND OUT'!#REF!,'Sales Support'!A107)</f>
        <v>#REF!</v>
      </c>
    </row>
    <row r="108" spans="1:4" ht="15" customHeight="1">
      <c r="A108" s="34">
        <v>807617</v>
      </c>
      <c r="B108" s="34">
        <v>807617</v>
      </c>
      <c r="C108" s="33" t="s">
        <v>787</v>
      </c>
      <c r="D108" s="38" t="e">
        <f>COUNTIF(DS!AH:AI,'Sales Support'!A108)+COUNTIF(SC!AH:AI,'Sales Support'!A108)+COUNTIF(SMI!AG:AH,'Sales Support'!A108)+COUNTIF(HO!AE:AF,'Sales Support'!A108)+COUNTIF(MARKOM!AH:AI,'Sales Support'!A108)+COUNTIF('IN AND OUT'!#REF!,'Sales Support'!A108)</f>
        <v>#REF!</v>
      </c>
    </row>
    <row r="109" spans="1:4" ht="15" customHeight="1">
      <c r="A109" s="34">
        <v>807853</v>
      </c>
      <c r="B109" s="34">
        <v>807853</v>
      </c>
      <c r="C109" s="33" t="s">
        <v>788</v>
      </c>
      <c r="D109" s="38" t="e">
        <f>COUNTIF(DS!AH:AI,'Sales Support'!A109)+COUNTIF(SC!AH:AI,'Sales Support'!A109)+COUNTIF(SMI!AG:AH,'Sales Support'!A109)+COUNTIF(HO!AE:AF,'Sales Support'!A109)+COUNTIF(MARKOM!AH:AI,'Sales Support'!A109)+COUNTIF('IN AND OUT'!#REF!,'Sales Support'!A109)</f>
        <v>#REF!</v>
      </c>
    </row>
  </sheetData>
  <autoFilter ref="A1:C108"/>
  <sortState ref="A2:C108">
    <sortCondition ref="A2:A10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"/>
  <sheetViews>
    <sheetView workbookViewId="0">
      <selection activeCell="U35" sqref="U35"/>
    </sheetView>
  </sheetViews>
  <sheetFormatPr defaultRowHeight="15"/>
  <cols>
    <col min="1" max="1" width="39.25" style="41" customWidth="1"/>
    <col min="2" max="6" width="9" style="41"/>
    <col min="7" max="256" width="9" style="15"/>
    <col min="257" max="257" width="39.25" style="15" customWidth="1"/>
    <col min="258" max="512" width="9" style="15"/>
    <col min="513" max="513" width="39.25" style="15" customWidth="1"/>
    <col min="514" max="768" width="9" style="15"/>
    <col min="769" max="769" width="39.25" style="15" customWidth="1"/>
    <col min="770" max="1024" width="9" style="15"/>
    <col min="1025" max="1025" width="39.25" style="15" customWidth="1"/>
    <col min="1026" max="1280" width="9" style="15"/>
    <col min="1281" max="1281" width="39.25" style="15" customWidth="1"/>
    <col min="1282" max="1536" width="9" style="15"/>
    <col min="1537" max="1537" width="39.25" style="15" customWidth="1"/>
    <col min="1538" max="1792" width="9" style="15"/>
    <col min="1793" max="1793" width="39.25" style="15" customWidth="1"/>
    <col min="1794" max="2048" width="9" style="15"/>
    <col min="2049" max="2049" width="39.25" style="15" customWidth="1"/>
    <col min="2050" max="2304" width="9" style="15"/>
    <col min="2305" max="2305" width="39.25" style="15" customWidth="1"/>
    <col min="2306" max="2560" width="9" style="15"/>
    <col min="2561" max="2561" width="39.25" style="15" customWidth="1"/>
    <col min="2562" max="2816" width="9" style="15"/>
    <col min="2817" max="2817" width="39.25" style="15" customWidth="1"/>
    <col min="2818" max="3072" width="9" style="15"/>
    <col min="3073" max="3073" width="39.25" style="15" customWidth="1"/>
    <col min="3074" max="3328" width="9" style="15"/>
    <col min="3329" max="3329" width="39.25" style="15" customWidth="1"/>
    <col min="3330" max="3584" width="9" style="15"/>
    <col min="3585" max="3585" width="39.25" style="15" customWidth="1"/>
    <col min="3586" max="3840" width="9" style="15"/>
    <col min="3841" max="3841" width="39.25" style="15" customWidth="1"/>
    <col min="3842" max="4096" width="9" style="15"/>
    <col min="4097" max="4097" width="39.25" style="15" customWidth="1"/>
    <col min="4098" max="4352" width="9" style="15"/>
    <col min="4353" max="4353" width="39.25" style="15" customWidth="1"/>
    <col min="4354" max="4608" width="9" style="15"/>
    <col min="4609" max="4609" width="39.25" style="15" customWidth="1"/>
    <col min="4610" max="4864" width="9" style="15"/>
    <col min="4865" max="4865" width="39.25" style="15" customWidth="1"/>
    <col min="4866" max="5120" width="9" style="15"/>
    <col min="5121" max="5121" width="39.25" style="15" customWidth="1"/>
    <col min="5122" max="5376" width="9" style="15"/>
    <col min="5377" max="5377" width="39.25" style="15" customWidth="1"/>
    <col min="5378" max="5632" width="9" style="15"/>
    <col min="5633" max="5633" width="39.25" style="15" customWidth="1"/>
    <col min="5634" max="5888" width="9" style="15"/>
    <col min="5889" max="5889" width="39.25" style="15" customWidth="1"/>
    <col min="5890" max="6144" width="9" style="15"/>
    <col min="6145" max="6145" width="39.25" style="15" customWidth="1"/>
    <col min="6146" max="6400" width="9" style="15"/>
    <col min="6401" max="6401" width="39.25" style="15" customWidth="1"/>
    <col min="6402" max="6656" width="9" style="15"/>
    <col min="6657" max="6657" width="39.25" style="15" customWidth="1"/>
    <col min="6658" max="6912" width="9" style="15"/>
    <col min="6913" max="6913" width="39.25" style="15" customWidth="1"/>
    <col min="6914" max="7168" width="9" style="15"/>
    <col min="7169" max="7169" width="39.25" style="15" customWidth="1"/>
    <col min="7170" max="7424" width="9" style="15"/>
    <col min="7425" max="7425" width="39.25" style="15" customWidth="1"/>
    <col min="7426" max="7680" width="9" style="15"/>
    <col min="7681" max="7681" width="39.25" style="15" customWidth="1"/>
    <col min="7682" max="7936" width="9" style="15"/>
    <col min="7937" max="7937" width="39.25" style="15" customWidth="1"/>
    <col min="7938" max="8192" width="9" style="15"/>
    <col min="8193" max="8193" width="39.25" style="15" customWidth="1"/>
    <col min="8194" max="8448" width="9" style="15"/>
    <col min="8449" max="8449" width="39.25" style="15" customWidth="1"/>
    <col min="8450" max="8704" width="9" style="15"/>
    <col min="8705" max="8705" width="39.25" style="15" customWidth="1"/>
    <col min="8706" max="8960" width="9" style="15"/>
    <col min="8961" max="8961" width="39.25" style="15" customWidth="1"/>
    <col min="8962" max="9216" width="9" style="15"/>
    <col min="9217" max="9217" width="39.25" style="15" customWidth="1"/>
    <col min="9218" max="9472" width="9" style="15"/>
    <col min="9473" max="9473" width="39.25" style="15" customWidth="1"/>
    <col min="9474" max="9728" width="9" style="15"/>
    <col min="9729" max="9729" width="39.25" style="15" customWidth="1"/>
    <col min="9730" max="9984" width="9" style="15"/>
    <col min="9985" max="9985" width="39.25" style="15" customWidth="1"/>
    <col min="9986" max="10240" width="9" style="15"/>
    <col min="10241" max="10241" width="39.25" style="15" customWidth="1"/>
    <col min="10242" max="10496" width="9" style="15"/>
    <col min="10497" max="10497" width="39.25" style="15" customWidth="1"/>
    <col min="10498" max="10752" width="9" style="15"/>
    <col min="10753" max="10753" width="39.25" style="15" customWidth="1"/>
    <col min="10754" max="11008" width="9" style="15"/>
    <col min="11009" max="11009" width="39.25" style="15" customWidth="1"/>
    <col min="11010" max="11264" width="9" style="15"/>
    <col min="11265" max="11265" width="39.25" style="15" customWidth="1"/>
    <col min="11266" max="11520" width="9" style="15"/>
    <col min="11521" max="11521" width="39.25" style="15" customWidth="1"/>
    <col min="11522" max="11776" width="9" style="15"/>
    <col min="11777" max="11777" width="39.25" style="15" customWidth="1"/>
    <col min="11778" max="12032" width="9" style="15"/>
    <col min="12033" max="12033" width="39.25" style="15" customWidth="1"/>
    <col min="12034" max="12288" width="9" style="15"/>
    <col min="12289" max="12289" width="39.25" style="15" customWidth="1"/>
    <col min="12290" max="12544" width="9" style="15"/>
    <col min="12545" max="12545" width="39.25" style="15" customWidth="1"/>
    <col min="12546" max="12800" width="9" style="15"/>
    <col min="12801" max="12801" width="39.25" style="15" customWidth="1"/>
    <col min="12802" max="13056" width="9" style="15"/>
    <col min="13057" max="13057" width="39.25" style="15" customWidth="1"/>
    <col min="13058" max="13312" width="9" style="15"/>
    <col min="13313" max="13313" width="39.25" style="15" customWidth="1"/>
    <col min="13314" max="13568" width="9" style="15"/>
    <col min="13569" max="13569" width="39.25" style="15" customWidth="1"/>
    <col min="13570" max="13824" width="9" style="15"/>
    <col min="13825" max="13825" width="39.25" style="15" customWidth="1"/>
    <col min="13826" max="14080" width="9" style="15"/>
    <col min="14081" max="14081" width="39.25" style="15" customWidth="1"/>
    <col min="14082" max="14336" width="9" style="15"/>
    <col min="14337" max="14337" width="39.25" style="15" customWidth="1"/>
    <col min="14338" max="14592" width="9" style="15"/>
    <col min="14593" max="14593" width="39.25" style="15" customWidth="1"/>
    <col min="14594" max="14848" width="9" style="15"/>
    <col min="14849" max="14849" width="39.25" style="15" customWidth="1"/>
    <col min="14850" max="15104" width="9" style="15"/>
    <col min="15105" max="15105" width="39.25" style="15" customWidth="1"/>
    <col min="15106" max="15360" width="9" style="15"/>
    <col min="15361" max="15361" width="39.25" style="15" customWidth="1"/>
    <col min="15362" max="15616" width="9" style="15"/>
    <col min="15617" max="15617" width="39.25" style="15" customWidth="1"/>
    <col min="15618" max="15872" width="9" style="15"/>
    <col min="15873" max="15873" width="39.25" style="15" customWidth="1"/>
    <col min="15874" max="16128" width="9" style="15"/>
    <col min="16129" max="16129" width="39.25" style="15" customWidth="1"/>
    <col min="16130" max="16384" width="9" style="15"/>
  </cols>
  <sheetData>
    <row r="1" spans="1:4" ht="15.75" thickBot="1">
      <c r="A1" s="39" t="s">
        <v>88</v>
      </c>
      <c r="B1" s="40" t="s">
        <v>78</v>
      </c>
      <c r="D1" s="41" t="s">
        <v>89</v>
      </c>
    </row>
    <row r="2" spans="1:4" ht="15.75" thickBot="1">
      <c r="A2" s="42" t="s">
        <v>90</v>
      </c>
      <c r="B2" s="43" t="s">
        <v>91</v>
      </c>
      <c r="D2" s="41" t="s">
        <v>92</v>
      </c>
    </row>
    <row r="3" spans="1:4" ht="15.75" thickBot="1">
      <c r="A3" s="42" t="s">
        <v>93</v>
      </c>
      <c r="B3" s="43" t="s">
        <v>94</v>
      </c>
      <c r="D3" s="41" t="s">
        <v>95</v>
      </c>
    </row>
    <row r="4" spans="1:4" ht="15.75" thickBot="1">
      <c r="A4" s="42" t="s">
        <v>96</v>
      </c>
      <c r="B4" s="43" t="s">
        <v>97</v>
      </c>
      <c r="D4" s="41" t="s">
        <v>98</v>
      </c>
    </row>
    <row r="5" spans="1:4" ht="15.75" thickBot="1">
      <c r="A5" s="42" t="s">
        <v>99</v>
      </c>
      <c r="B5" s="43" t="s">
        <v>100</v>
      </c>
      <c r="D5" s="41" t="s">
        <v>101</v>
      </c>
    </row>
    <row r="6" spans="1:4" ht="15.75" thickBot="1">
      <c r="A6" s="42" t="s">
        <v>102</v>
      </c>
      <c r="B6" s="43" t="s">
        <v>103</v>
      </c>
      <c r="D6" s="41" t="s">
        <v>104</v>
      </c>
    </row>
    <row r="7" spans="1:4" ht="15.75" thickBot="1">
      <c r="A7" s="42" t="s">
        <v>105</v>
      </c>
      <c r="B7" s="43" t="s">
        <v>106</v>
      </c>
      <c r="D7" s="41" t="s">
        <v>107</v>
      </c>
    </row>
    <row r="8" spans="1:4" ht="15.75" thickBot="1">
      <c r="A8" s="42" t="s">
        <v>108</v>
      </c>
      <c r="B8" s="43" t="s">
        <v>109</v>
      </c>
    </row>
    <row r="9" spans="1:4" ht="15.75" thickBot="1">
      <c r="A9" s="42" t="s">
        <v>110</v>
      </c>
      <c r="B9" s="43" t="s">
        <v>111</v>
      </c>
    </row>
    <row r="10" spans="1:4" ht="15.75" thickBot="1">
      <c r="A10" s="42" t="s">
        <v>112</v>
      </c>
      <c r="B10" s="43" t="s">
        <v>113</v>
      </c>
    </row>
    <row r="11" spans="1:4" ht="15.75" thickBot="1">
      <c r="A11" s="42" t="s">
        <v>114</v>
      </c>
      <c r="B11" s="43" t="s">
        <v>115</v>
      </c>
    </row>
    <row r="12" spans="1:4" ht="15.75" thickBot="1">
      <c r="A12" s="42" t="s">
        <v>116</v>
      </c>
      <c r="B12" s="43" t="s">
        <v>117</v>
      </c>
    </row>
    <row r="13" spans="1:4" ht="15.75" thickBot="1">
      <c r="A13" s="42" t="s">
        <v>118</v>
      </c>
      <c r="B13" s="43" t="s">
        <v>119</v>
      </c>
    </row>
    <row r="14" spans="1:4" ht="15.75" thickBot="1">
      <c r="A14" s="42" t="s">
        <v>120</v>
      </c>
      <c r="B14" s="43" t="s">
        <v>121</v>
      </c>
    </row>
    <row r="15" spans="1:4" ht="15.75" thickBot="1">
      <c r="A15" s="42" t="s">
        <v>122</v>
      </c>
      <c r="B15" s="43" t="s">
        <v>123</v>
      </c>
    </row>
    <row r="16" spans="1:4" ht="15.75" thickBot="1">
      <c r="A16" s="42" t="s">
        <v>124</v>
      </c>
      <c r="B16" s="43" t="s">
        <v>125</v>
      </c>
    </row>
    <row r="17" spans="1:2" ht="15.75" thickBot="1">
      <c r="A17" s="42" t="s">
        <v>126</v>
      </c>
      <c r="B17" s="43" t="s">
        <v>127</v>
      </c>
    </row>
    <row r="18" spans="1:2" ht="15.75" thickBot="1">
      <c r="A18" s="42" t="s">
        <v>128</v>
      </c>
      <c r="B18" s="43" t="s">
        <v>129</v>
      </c>
    </row>
    <row r="19" spans="1:2" ht="15.75" thickBot="1">
      <c r="A19" s="42" t="s">
        <v>130</v>
      </c>
      <c r="B19" s="43" t="s">
        <v>131</v>
      </c>
    </row>
    <row r="20" spans="1:2" ht="15.75" thickBot="1">
      <c r="A20" s="42" t="s">
        <v>132</v>
      </c>
      <c r="B20" s="43" t="s">
        <v>133</v>
      </c>
    </row>
    <row r="21" spans="1:2" ht="15.75" thickBot="1">
      <c r="A21" s="42" t="s">
        <v>134</v>
      </c>
      <c r="B21" s="43" t="s">
        <v>135</v>
      </c>
    </row>
    <row r="22" spans="1:2" ht="15.75" thickBot="1">
      <c r="A22" s="42" t="s">
        <v>136</v>
      </c>
      <c r="B22" s="43" t="s">
        <v>137</v>
      </c>
    </row>
    <row r="23" spans="1:2" ht="15.75" thickBot="1">
      <c r="A23" s="42" t="s">
        <v>138</v>
      </c>
      <c r="B23" s="43" t="s">
        <v>139</v>
      </c>
    </row>
    <row r="24" spans="1:2" ht="15.75" thickBot="1">
      <c r="A24" s="42" t="s">
        <v>140</v>
      </c>
      <c r="B24" s="43" t="s">
        <v>141</v>
      </c>
    </row>
    <row r="25" spans="1:2" ht="15.75" thickBot="1">
      <c r="A25" s="42" t="s">
        <v>142</v>
      </c>
      <c r="B25" s="43" t="s">
        <v>143</v>
      </c>
    </row>
    <row r="26" spans="1:2" ht="15.75" thickBot="1">
      <c r="A26" s="42" t="s">
        <v>144</v>
      </c>
      <c r="B26" s="43" t="s">
        <v>145</v>
      </c>
    </row>
    <row r="27" spans="1:2" ht="15.75" thickBot="1">
      <c r="A27" s="42" t="s">
        <v>146</v>
      </c>
      <c r="B27" s="43" t="s">
        <v>147</v>
      </c>
    </row>
    <row r="28" spans="1:2" ht="15.75" thickBot="1">
      <c r="A28" s="42" t="s">
        <v>148</v>
      </c>
      <c r="B28" s="43" t="s">
        <v>149</v>
      </c>
    </row>
    <row r="29" spans="1:2" ht="15.75" thickBot="1">
      <c r="A29" s="42" t="s">
        <v>150</v>
      </c>
      <c r="B29" s="43" t="s">
        <v>151</v>
      </c>
    </row>
    <row r="30" spans="1:2" ht="15.75" thickBot="1">
      <c r="A30" s="42" t="s">
        <v>152</v>
      </c>
      <c r="B30" s="43" t="s">
        <v>153</v>
      </c>
    </row>
    <row r="31" spans="1:2" ht="15.75" thickBot="1">
      <c r="A31" s="42" t="s">
        <v>154</v>
      </c>
      <c r="B31" s="43" t="s">
        <v>155</v>
      </c>
    </row>
    <row r="32" spans="1:2" ht="15.75" thickBot="1">
      <c r="A32" s="42" t="s">
        <v>156</v>
      </c>
      <c r="B32" s="43" t="s">
        <v>157</v>
      </c>
    </row>
    <row r="33" spans="1:2" ht="15.75" thickBot="1">
      <c r="A33" s="42" t="s">
        <v>158</v>
      </c>
      <c r="B33" s="43" t="s">
        <v>159</v>
      </c>
    </row>
    <row r="34" spans="1:2" ht="15.75" thickBot="1">
      <c r="A34" s="42" t="s">
        <v>160</v>
      </c>
      <c r="B34" s="43" t="s">
        <v>161</v>
      </c>
    </row>
    <row r="35" spans="1:2" ht="15.75" thickBot="1">
      <c r="A35" s="42" t="s">
        <v>162</v>
      </c>
      <c r="B35" s="43" t="s">
        <v>163</v>
      </c>
    </row>
    <row r="36" spans="1:2" ht="15.75" thickBot="1">
      <c r="A36" s="42" t="s">
        <v>164</v>
      </c>
      <c r="B36" s="43" t="s">
        <v>165</v>
      </c>
    </row>
    <row r="37" spans="1:2" ht="15.75" thickBot="1">
      <c r="A37" s="42" t="s">
        <v>166</v>
      </c>
      <c r="B37" s="43" t="s">
        <v>167</v>
      </c>
    </row>
    <row r="38" spans="1:2" ht="15.75" thickBot="1">
      <c r="A38" s="42" t="s">
        <v>168</v>
      </c>
      <c r="B38" s="43" t="s">
        <v>169</v>
      </c>
    </row>
    <row r="39" spans="1:2" ht="15.75" thickBot="1">
      <c r="A39" s="42" t="s">
        <v>170</v>
      </c>
      <c r="B39" s="43" t="s">
        <v>171</v>
      </c>
    </row>
    <row r="40" spans="1:2" ht="15.75" thickBot="1">
      <c r="A40" s="42" t="s">
        <v>172</v>
      </c>
      <c r="B40" s="43" t="s">
        <v>173</v>
      </c>
    </row>
    <row r="41" spans="1:2" ht="15.75" thickBot="1">
      <c r="A41" s="42" t="s">
        <v>174</v>
      </c>
      <c r="B41" s="43" t="s">
        <v>175</v>
      </c>
    </row>
    <row r="42" spans="1:2" ht="15.75" thickBot="1">
      <c r="A42" s="42" t="s">
        <v>176</v>
      </c>
      <c r="B42" s="43" t="s">
        <v>177</v>
      </c>
    </row>
    <row r="43" spans="1:2" ht="15.75" thickBot="1">
      <c r="A43" s="42" t="s">
        <v>178</v>
      </c>
      <c r="B43" s="43" t="s">
        <v>179</v>
      </c>
    </row>
    <row r="44" spans="1:2" ht="15.75" thickBot="1">
      <c r="A44" s="42" t="s">
        <v>180</v>
      </c>
      <c r="B44" s="43" t="s">
        <v>181</v>
      </c>
    </row>
    <row r="45" spans="1:2" ht="15.75" thickBot="1">
      <c r="A45" s="42" t="s">
        <v>182</v>
      </c>
      <c r="B45" s="43" t="s">
        <v>183</v>
      </c>
    </row>
    <row r="46" spans="1:2" ht="15.75" thickBot="1">
      <c r="A46" s="42" t="s">
        <v>184</v>
      </c>
      <c r="B46" s="43" t="s">
        <v>185</v>
      </c>
    </row>
    <row r="47" spans="1:2" ht="15.75" thickBot="1">
      <c r="A47" s="42" t="s">
        <v>186</v>
      </c>
      <c r="B47" s="43" t="s">
        <v>187</v>
      </c>
    </row>
    <row r="48" spans="1:2" ht="15.75" thickBot="1">
      <c r="A48" s="42" t="s">
        <v>188</v>
      </c>
      <c r="B48" s="43" t="s">
        <v>189</v>
      </c>
    </row>
    <row r="49" spans="1:2" ht="15.75" thickBot="1">
      <c r="A49" s="42" t="s">
        <v>190</v>
      </c>
      <c r="B49" s="43" t="s">
        <v>191</v>
      </c>
    </row>
    <row r="50" spans="1:2" ht="15.75" thickBot="1">
      <c r="A50" s="42" t="s">
        <v>192</v>
      </c>
      <c r="B50" s="43" t="s">
        <v>193</v>
      </c>
    </row>
    <row r="51" spans="1:2" ht="15.75" thickBot="1">
      <c r="A51" s="42" t="s">
        <v>194</v>
      </c>
      <c r="B51" s="43" t="s">
        <v>195</v>
      </c>
    </row>
    <row r="52" spans="1:2" ht="15.75" thickBot="1">
      <c r="A52" s="42" t="s">
        <v>196</v>
      </c>
      <c r="B52" s="43" t="s">
        <v>197</v>
      </c>
    </row>
    <row r="53" spans="1:2" ht="15.75" thickBot="1">
      <c r="A53" s="42" t="s">
        <v>198</v>
      </c>
      <c r="B53" s="43" t="s">
        <v>199</v>
      </c>
    </row>
    <row r="54" spans="1:2" ht="15.75" thickBot="1">
      <c r="A54" s="42" t="s">
        <v>200</v>
      </c>
      <c r="B54" s="43" t="s">
        <v>201</v>
      </c>
    </row>
    <row r="55" spans="1:2" ht="15.75" thickBot="1">
      <c r="A55" s="42" t="s">
        <v>202</v>
      </c>
      <c r="B55" s="43" t="s">
        <v>203</v>
      </c>
    </row>
    <row r="56" spans="1:2" ht="15.75" thickBot="1">
      <c r="A56" s="42" t="s">
        <v>204</v>
      </c>
      <c r="B56" s="43" t="s">
        <v>205</v>
      </c>
    </row>
    <row r="57" spans="1:2" ht="15.75" thickBot="1">
      <c r="A57" s="42" t="s">
        <v>206</v>
      </c>
      <c r="B57" s="43" t="s">
        <v>207</v>
      </c>
    </row>
    <row r="58" spans="1:2" ht="15.75" thickBot="1">
      <c r="A58" s="42" t="s">
        <v>208</v>
      </c>
      <c r="B58" s="43" t="s">
        <v>209</v>
      </c>
    </row>
    <row r="59" spans="1:2" ht="15.75" thickBot="1">
      <c r="A59" s="42" t="s">
        <v>210</v>
      </c>
      <c r="B59" s="43" t="s">
        <v>211</v>
      </c>
    </row>
    <row r="60" spans="1:2" ht="15.75" thickBot="1">
      <c r="A60" s="42" t="s">
        <v>212</v>
      </c>
      <c r="B60" s="43" t="s">
        <v>213</v>
      </c>
    </row>
    <row r="61" spans="1:2" ht="15.75" thickBot="1">
      <c r="A61" s="42" t="s">
        <v>214</v>
      </c>
      <c r="B61" s="43" t="s">
        <v>215</v>
      </c>
    </row>
    <row r="62" spans="1:2" ht="15.75" thickBot="1">
      <c r="A62" s="42" t="s">
        <v>216</v>
      </c>
      <c r="B62" s="43" t="s">
        <v>217</v>
      </c>
    </row>
    <row r="63" spans="1:2" ht="15.75" thickBot="1">
      <c r="A63" s="42" t="s">
        <v>218</v>
      </c>
      <c r="B63" s="43" t="s">
        <v>219</v>
      </c>
    </row>
    <row r="64" spans="1:2" ht="15.75" thickBot="1">
      <c r="A64" s="42" t="s">
        <v>220</v>
      </c>
      <c r="B64" s="43" t="s">
        <v>221</v>
      </c>
    </row>
    <row r="65" spans="1:2" ht="15.75" thickBot="1">
      <c r="A65" s="42" t="s">
        <v>222</v>
      </c>
      <c r="B65" s="43" t="s">
        <v>223</v>
      </c>
    </row>
    <row r="66" spans="1:2" ht="15.75" thickBot="1">
      <c r="A66" s="42" t="s">
        <v>224</v>
      </c>
      <c r="B66" s="43" t="s">
        <v>225</v>
      </c>
    </row>
    <row r="67" spans="1:2" ht="15.75" thickBot="1">
      <c r="A67" s="42" t="s">
        <v>226</v>
      </c>
      <c r="B67" s="43" t="s">
        <v>227</v>
      </c>
    </row>
    <row r="68" spans="1:2" ht="15.75" thickBot="1">
      <c r="A68" s="42" t="s">
        <v>228</v>
      </c>
      <c r="B68" s="43" t="s">
        <v>229</v>
      </c>
    </row>
    <row r="69" spans="1:2" ht="15.75" thickBot="1">
      <c r="A69" s="42" t="s">
        <v>230</v>
      </c>
      <c r="B69" s="43" t="s">
        <v>231</v>
      </c>
    </row>
    <row r="70" spans="1:2" ht="15.75" thickBot="1">
      <c r="A70" s="42" t="s">
        <v>232</v>
      </c>
      <c r="B70" s="43" t="s">
        <v>233</v>
      </c>
    </row>
    <row r="71" spans="1:2" ht="15.75" thickBot="1">
      <c r="A71" s="42" t="s">
        <v>234</v>
      </c>
      <c r="B71" s="43" t="s">
        <v>235</v>
      </c>
    </row>
    <row r="72" spans="1:2" ht="15.75" thickBot="1">
      <c r="A72" s="42" t="s">
        <v>236</v>
      </c>
      <c r="B72" s="43" t="s">
        <v>237</v>
      </c>
    </row>
    <row r="73" spans="1:2" ht="15.75" thickBot="1">
      <c r="A73" s="42" t="s">
        <v>238</v>
      </c>
      <c r="B73" s="43" t="s">
        <v>239</v>
      </c>
    </row>
    <row r="74" spans="1:2" ht="15.75" thickBot="1">
      <c r="A74" s="42" t="s">
        <v>240</v>
      </c>
      <c r="B74" s="43" t="s">
        <v>241</v>
      </c>
    </row>
    <row r="75" spans="1:2" ht="15.75" thickBot="1">
      <c r="A75" s="42" t="s">
        <v>242</v>
      </c>
      <c r="B75" s="43" t="s">
        <v>243</v>
      </c>
    </row>
    <row r="76" spans="1:2" ht="15.75" thickBot="1">
      <c r="A76" s="42" t="s">
        <v>244</v>
      </c>
      <c r="B76" s="43" t="s">
        <v>245</v>
      </c>
    </row>
    <row r="77" spans="1:2" ht="15.75" thickBot="1">
      <c r="A77" s="42" t="s">
        <v>246</v>
      </c>
      <c r="B77" s="43" t="s">
        <v>247</v>
      </c>
    </row>
    <row r="78" spans="1:2" ht="15.75" thickBot="1">
      <c r="A78" s="42" t="s">
        <v>248</v>
      </c>
      <c r="B78" s="43" t="s">
        <v>249</v>
      </c>
    </row>
    <row r="79" spans="1:2" ht="15.75" thickBot="1">
      <c r="A79" s="42" t="s">
        <v>250</v>
      </c>
      <c r="B79" s="43" t="s">
        <v>251</v>
      </c>
    </row>
    <row r="80" spans="1:2" ht="15.75" thickBot="1">
      <c r="A80" s="42" t="s">
        <v>252</v>
      </c>
      <c r="B80" s="43" t="s">
        <v>253</v>
      </c>
    </row>
    <row r="81" spans="1:2" ht="15.75" thickBot="1">
      <c r="A81" s="42" t="s">
        <v>254</v>
      </c>
      <c r="B81" s="43" t="s">
        <v>255</v>
      </c>
    </row>
    <row r="82" spans="1:2" ht="15.75" thickBot="1">
      <c r="A82" s="42" t="s">
        <v>256</v>
      </c>
      <c r="B82" s="43" t="s">
        <v>257</v>
      </c>
    </row>
    <row r="83" spans="1:2" ht="15.75" thickBot="1">
      <c r="A83" s="42" t="s">
        <v>258</v>
      </c>
      <c r="B83" s="43" t="s">
        <v>259</v>
      </c>
    </row>
    <row r="84" spans="1:2" ht="15.75" thickBot="1">
      <c r="A84" s="42" t="s">
        <v>260</v>
      </c>
      <c r="B84" s="43" t="s">
        <v>261</v>
      </c>
    </row>
    <row r="85" spans="1:2" ht="15.75" thickBot="1">
      <c r="A85" s="42" t="s">
        <v>262</v>
      </c>
      <c r="B85" s="43" t="s">
        <v>263</v>
      </c>
    </row>
    <row r="86" spans="1:2" ht="15.75" thickBot="1">
      <c r="A86" s="42" t="s">
        <v>264</v>
      </c>
      <c r="B86" s="43" t="s">
        <v>265</v>
      </c>
    </row>
    <row r="87" spans="1:2" ht="15.75" thickBot="1">
      <c r="A87" s="42" t="s">
        <v>266</v>
      </c>
      <c r="B87" s="43" t="s">
        <v>267</v>
      </c>
    </row>
    <row r="88" spans="1:2" ht="15.75" thickBot="1">
      <c r="A88" s="42" t="s">
        <v>268</v>
      </c>
      <c r="B88" s="43" t="s">
        <v>269</v>
      </c>
    </row>
    <row r="89" spans="1:2" ht="15.75" thickBot="1">
      <c r="A89" s="42" t="s">
        <v>270</v>
      </c>
      <c r="B89" s="43" t="s">
        <v>271</v>
      </c>
    </row>
    <row r="90" spans="1:2" ht="15.75" thickBot="1">
      <c r="A90" s="42" t="s">
        <v>272</v>
      </c>
      <c r="B90" s="43" t="s">
        <v>273</v>
      </c>
    </row>
    <row r="91" spans="1:2" ht="15.75" thickBot="1">
      <c r="A91" s="42" t="s">
        <v>274</v>
      </c>
      <c r="B91" s="43" t="s">
        <v>275</v>
      </c>
    </row>
    <row r="92" spans="1:2" ht="15.75" thickBot="1">
      <c r="A92" s="42" t="s">
        <v>276</v>
      </c>
      <c r="B92" s="43" t="s">
        <v>277</v>
      </c>
    </row>
    <row r="93" spans="1:2" ht="15.75" thickBot="1">
      <c r="A93" s="42" t="s">
        <v>278</v>
      </c>
      <c r="B93" s="43" t="s">
        <v>279</v>
      </c>
    </row>
    <row r="94" spans="1:2" ht="15.75" thickBot="1">
      <c r="A94" s="42" t="s">
        <v>280</v>
      </c>
      <c r="B94" s="43" t="s">
        <v>281</v>
      </c>
    </row>
    <row r="95" spans="1:2" ht="15.75" thickBot="1">
      <c r="A95" s="42" t="s">
        <v>282</v>
      </c>
      <c r="B95" s="43" t="s">
        <v>283</v>
      </c>
    </row>
    <row r="96" spans="1:2" ht="15.75" thickBot="1">
      <c r="A96" s="42" t="s">
        <v>284</v>
      </c>
      <c r="B96" s="43" t="s">
        <v>285</v>
      </c>
    </row>
    <row r="97" spans="1:2" ht="15.75" thickBot="1">
      <c r="A97" s="42" t="s">
        <v>286</v>
      </c>
      <c r="B97" s="43" t="s">
        <v>287</v>
      </c>
    </row>
    <row r="98" spans="1:2" ht="15.75" thickBot="1">
      <c r="A98" s="42" t="s">
        <v>288</v>
      </c>
      <c r="B98" s="43" t="s">
        <v>289</v>
      </c>
    </row>
    <row r="99" spans="1:2" ht="15.75" thickBot="1">
      <c r="A99" s="42" t="s">
        <v>290</v>
      </c>
      <c r="B99" s="43" t="s">
        <v>291</v>
      </c>
    </row>
    <row r="100" spans="1:2" ht="15.75" thickBot="1">
      <c r="A100" s="42" t="s">
        <v>292</v>
      </c>
      <c r="B100" s="43" t="s">
        <v>293</v>
      </c>
    </row>
    <row r="101" spans="1:2" ht="15.75" thickBot="1">
      <c r="A101" s="42" t="s">
        <v>294</v>
      </c>
      <c r="B101" s="43" t="s">
        <v>295</v>
      </c>
    </row>
    <row r="102" spans="1:2" ht="15.75" thickBot="1">
      <c r="A102" s="42" t="s">
        <v>296</v>
      </c>
      <c r="B102" s="43" t="s">
        <v>297</v>
      </c>
    </row>
    <row r="103" spans="1:2" ht="15.75" thickBot="1">
      <c r="A103" s="42" t="s">
        <v>298</v>
      </c>
      <c r="B103" s="43" t="s">
        <v>299</v>
      </c>
    </row>
    <row r="104" spans="1:2" ht="15.75" thickBot="1">
      <c r="A104" s="42" t="s">
        <v>300</v>
      </c>
      <c r="B104" s="43" t="s">
        <v>301</v>
      </c>
    </row>
    <row r="105" spans="1:2" ht="15.75" thickBot="1">
      <c r="A105" s="42" t="s">
        <v>302</v>
      </c>
      <c r="B105" s="43" t="s">
        <v>303</v>
      </c>
    </row>
    <row r="106" spans="1:2" ht="15.75" thickBot="1">
      <c r="A106" s="42" t="s">
        <v>304</v>
      </c>
      <c r="B106" s="43" t="s">
        <v>305</v>
      </c>
    </row>
    <row r="107" spans="1:2" ht="15.75" thickBot="1">
      <c r="A107" s="42" t="s">
        <v>306</v>
      </c>
      <c r="B107" s="43" t="s">
        <v>307</v>
      </c>
    </row>
    <row r="108" spans="1:2" ht="15.75" thickBot="1">
      <c r="A108" s="42" t="s">
        <v>308</v>
      </c>
      <c r="B108" s="43" t="s">
        <v>309</v>
      </c>
    </row>
    <row r="109" spans="1:2" ht="15.75" thickBot="1">
      <c r="A109" s="42" t="s">
        <v>310</v>
      </c>
      <c r="B109" s="43" t="s">
        <v>311</v>
      </c>
    </row>
    <row r="110" spans="1:2" ht="15.75" thickBot="1">
      <c r="A110" s="42" t="s">
        <v>312</v>
      </c>
      <c r="B110" s="43" t="s">
        <v>313</v>
      </c>
    </row>
    <row r="111" spans="1:2" ht="15.75" thickBot="1">
      <c r="A111" s="42" t="s">
        <v>314</v>
      </c>
      <c r="B111" s="43" t="s">
        <v>315</v>
      </c>
    </row>
    <row r="112" spans="1:2" ht="15.75" thickBot="1">
      <c r="A112" s="42" t="s">
        <v>316</v>
      </c>
      <c r="B112" s="43" t="s">
        <v>317</v>
      </c>
    </row>
    <row r="113" spans="1:2" ht="15.75" thickBot="1">
      <c r="A113" s="42" t="s">
        <v>318</v>
      </c>
      <c r="B113" s="43" t="s">
        <v>319</v>
      </c>
    </row>
    <row r="114" spans="1:2" ht="15.75" thickBot="1">
      <c r="A114" s="42" t="s">
        <v>320</v>
      </c>
      <c r="B114" s="43" t="s">
        <v>321</v>
      </c>
    </row>
    <row r="115" spans="1:2" ht="15.75" thickBot="1">
      <c r="A115" s="42" t="s">
        <v>322</v>
      </c>
      <c r="B115" s="43" t="s">
        <v>323</v>
      </c>
    </row>
    <row r="116" spans="1:2" ht="15.75" thickBot="1">
      <c r="A116" s="42" t="s">
        <v>324</v>
      </c>
      <c r="B116" s="43" t="s">
        <v>325</v>
      </c>
    </row>
    <row r="117" spans="1:2" ht="15.75" thickBot="1">
      <c r="A117" s="42" t="s">
        <v>326</v>
      </c>
      <c r="B117" s="43" t="s">
        <v>327</v>
      </c>
    </row>
    <row r="118" spans="1:2" ht="15.75" thickBot="1">
      <c r="A118" s="42" t="s">
        <v>328</v>
      </c>
      <c r="B118" s="43" t="s">
        <v>329</v>
      </c>
    </row>
    <row r="119" spans="1:2" ht="15.75" thickBot="1">
      <c r="A119" s="42" t="s">
        <v>330</v>
      </c>
      <c r="B119" s="43" t="s">
        <v>331</v>
      </c>
    </row>
    <row r="120" spans="1:2" ht="15.75" thickBot="1">
      <c r="A120" s="42" t="s">
        <v>332</v>
      </c>
      <c r="B120" s="43" t="s">
        <v>333</v>
      </c>
    </row>
    <row r="121" spans="1:2" ht="15.75" thickBot="1">
      <c r="A121" s="42" t="s">
        <v>334</v>
      </c>
      <c r="B121" s="43" t="s">
        <v>335</v>
      </c>
    </row>
    <row r="122" spans="1:2" ht="15.75" thickBot="1">
      <c r="A122" s="42" t="s">
        <v>336</v>
      </c>
      <c r="B122" s="43" t="s">
        <v>337</v>
      </c>
    </row>
    <row r="123" spans="1:2" ht="15.75" thickBot="1">
      <c r="A123" s="42" t="s">
        <v>338</v>
      </c>
      <c r="B123" s="43" t="s">
        <v>339</v>
      </c>
    </row>
    <row r="124" spans="1:2" ht="15.75" thickBot="1">
      <c r="A124" s="42" t="s">
        <v>340</v>
      </c>
      <c r="B124" s="43" t="s">
        <v>341</v>
      </c>
    </row>
    <row r="125" spans="1:2" ht="15.75" thickBot="1">
      <c r="A125" s="42" t="s">
        <v>342</v>
      </c>
      <c r="B125" s="43" t="s">
        <v>343</v>
      </c>
    </row>
    <row r="126" spans="1:2" ht="15.75" thickBot="1">
      <c r="A126" s="42" t="s">
        <v>344</v>
      </c>
      <c r="B126" s="43" t="s">
        <v>345</v>
      </c>
    </row>
    <row r="127" spans="1:2" ht="15.75" thickBot="1">
      <c r="A127" s="42" t="s">
        <v>346</v>
      </c>
      <c r="B127" s="43" t="s">
        <v>347</v>
      </c>
    </row>
    <row r="128" spans="1:2" ht="15.75" thickBot="1">
      <c r="A128" s="42" t="s">
        <v>348</v>
      </c>
      <c r="B128" s="43" t="s">
        <v>349</v>
      </c>
    </row>
    <row r="129" spans="1:2" ht="15.75" thickBot="1">
      <c r="A129" s="42" t="s">
        <v>350</v>
      </c>
      <c r="B129" s="43" t="s">
        <v>351</v>
      </c>
    </row>
    <row r="130" spans="1:2" ht="15.75" thickBot="1">
      <c r="A130" s="42" t="s">
        <v>352</v>
      </c>
      <c r="B130" s="43" t="s">
        <v>353</v>
      </c>
    </row>
    <row r="131" spans="1:2" ht="15.75" thickBot="1">
      <c r="A131" s="42" t="s">
        <v>354</v>
      </c>
      <c r="B131" s="43" t="s">
        <v>355</v>
      </c>
    </row>
    <row r="132" spans="1:2" ht="15.75" thickBot="1">
      <c r="A132" s="42" t="s">
        <v>356</v>
      </c>
      <c r="B132" s="43" t="s">
        <v>357</v>
      </c>
    </row>
    <row r="133" spans="1:2" ht="15.75" thickBot="1">
      <c r="A133" s="42" t="s">
        <v>358</v>
      </c>
      <c r="B133" s="43" t="s">
        <v>359</v>
      </c>
    </row>
    <row r="134" spans="1:2" ht="15.75" thickBot="1">
      <c r="A134" s="42" t="s">
        <v>360</v>
      </c>
      <c r="B134" s="43" t="s">
        <v>361</v>
      </c>
    </row>
    <row r="135" spans="1:2" ht="15.75" thickBot="1">
      <c r="A135" s="42" t="s">
        <v>362</v>
      </c>
      <c r="B135" s="43" t="s">
        <v>363</v>
      </c>
    </row>
    <row r="136" spans="1:2" ht="15.75" thickBot="1">
      <c r="A136" s="42" t="s">
        <v>364</v>
      </c>
      <c r="B136" s="43" t="s">
        <v>365</v>
      </c>
    </row>
    <row r="137" spans="1:2" ht="15.75" thickBot="1">
      <c r="A137" s="42" t="s">
        <v>366</v>
      </c>
      <c r="B137" s="43" t="s">
        <v>367</v>
      </c>
    </row>
    <row r="138" spans="1:2" ht="15.75" thickBot="1">
      <c r="A138" s="42" t="s">
        <v>368</v>
      </c>
      <c r="B138" s="43" t="s">
        <v>369</v>
      </c>
    </row>
    <row r="139" spans="1:2" ht="15.75" thickBot="1">
      <c r="A139" s="42" t="s">
        <v>370</v>
      </c>
      <c r="B139" s="43" t="s">
        <v>371</v>
      </c>
    </row>
    <row r="140" spans="1:2" ht="15.75" thickBot="1">
      <c r="A140" s="42" t="s">
        <v>372</v>
      </c>
      <c r="B140" s="43" t="s">
        <v>373</v>
      </c>
    </row>
    <row r="141" spans="1:2" ht="15.75" thickBot="1">
      <c r="A141" s="42" t="s">
        <v>374</v>
      </c>
      <c r="B141" s="43" t="s">
        <v>375</v>
      </c>
    </row>
    <row r="142" spans="1:2" ht="15.75" thickBot="1">
      <c r="A142" s="42" t="s">
        <v>376</v>
      </c>
      <c r="B142" s="43" t="s">
        <v>377</v>
      </c>
    </row>
    <row r="143" spans="1:2" ht="15.75" thickBot="1">
      <c r="A143" s="42" t="s">
        <v>378</v>
      </c>
      <c r="B143" s="43" t="s">
        <v>379</v>
      </c>
    </row>
    <row r="144" spans="1:2" ht="15.75" thickBot="1">
      <c r="A144" s="42" t="s">
        <v>380</v>
      </c>
      <c r="B144" s="43" t="s">
        <v>381</v>
      </c>
    </row>
    <row r="145" spans="1:2" ht="15.75" thickBot="1">
      <c r="A145" s="42" t="s">
        <v>382</v>
      </c>
      <c r="B145" s="43" t="s">
        <v>383</v>
      </c>
    </row>
    <row r="146" spans="1:2" ht="15.75" thickBot="1">
      <c r="A146" s="42" t="s">
        <v>384</v>
      </c>
      <c r="B146" s="43" t="s">
        <v>385</v>
      </c>
    </row>
    <row r="147" spans="1:2" ht="15.75" thickBot="1">
      <c r="A147" s="42" t="s">
        <v>386</v>
      </c>
      <c r="B147" s="43" t="s">
        <v>387</v>
      </c>
    </row>
    <row r="148" spans="1:2" ht="15.75" thickBot="1">
      <c r="A148" s="42" t="s">
        <v>388</v>
      </c>
      <c r="B148" s="43" t="s">
        <v>389</v>
      </c>
    </row>
    <row r="149" spans="1:2" ht="15.75" thickBot="1">
      <c r="A149" s="42" t="s">
        <v>390</v>
      </c>
      <c r="B149" s="43" t="s">
        <v>391</v>
      </c>
    </row>
    <row r="150" spans="1:2" ht="15.75" thickBot="1">
      <c r="A150" s="42" t="s">
        <v>392</v>
      </c>
      <c r="B150" s="43" t="s">
        <v>393</v>
      </c>
    </row>
    <row r="151" spans="1:2" ht="15.75" thickBot="1">
      <c r="A151" s="42" t="s">
        <v>394</v>
      </c>
      <c r="B151" s="43" t="s">
        <v>395</v>
      </c>
    </row>
    <row r="152" spans="1:2" ht="15.75" thickBot="1">
      <c r="A152" s="42" t="s">
        <v>396</v>
      </c>
      <c r="B152" s="43" t="s">
        <v>397</v>
      </c>
    </row>
    <row r="153" spans="1:2" ht="15.75" thickBot="1">
      <c r="A153" s="42" t="s">
        <v>398</v>
      </c>
      <c r="B153" s="43" t="s">
        <v>399</v>
      </c>
    </row>
    <row r="154" spans="1:2" ht="15.75" thickBot="1">
      <c r="A154" s="42" t="s">
        <v>400</v>
      </c>
      <c r="B154" s="43" t="s">
        <v>401</v>
      </c>
    </row>
    <row r="155" spans="1:2" ht="15.75" thickBot="1">
      <c r="A155" s="42" t="s">
        <v>402</v>
      </c>
      <c r="B155" s="43" t="s">
        <v>403</v>
      </c>
    </row>
    <row r="156" spans="1:2" ht="15.75" thickBot="1">
      <c r="A156" s="42" t="s">
        <v>404</v>
      </c>
      <c r="B156" s="43" t="s">
        <v>405</v>
      </c>
    </row>
    <row r="157" spans="1:2" ht="15.75" thickBot="1">
      <c r="A157" s="42" t="s">
        <v>406</v>
      </c>
      <c r="B157" s="43" t="s">
        <v>407</v>
      </c>
    </row>
    <row r="158" spans="1:2" ht="15.75" thickBot="1">
      <c r="A158" s="42" t="s">
        <v>408</v>
      </c>
      <c r="B158" s="43" t="s">
        <v>409</v>
      </c>
    </row>
    <row r="159" spans="1:2" ht="15.75" thickBot="1">
      <c r="A159" s="42" t="s">
        <v>410</v>
      </c>
      <c r="B159" s="43" t="s">
        <v>411</v>
      </c>
    </row>
    <row r="160" spans="1:2" ht="15.75" thickBot="1">
      <c r="A160" s="42" t="s">
        <v>412</v>
      </c>
      <c r="B160" s="43" t="s">
        <v>413</v>
      </c>
    </row>
    <row r="161" spans="1:2" ht="15.75" thickBot="1">
      <c r="A161" s="42" t="s">
        <v>414</v>
      </c>
      <c r="B161" s="43" t="s">
        <v>415</v>
      </c>
    </row>
    <row r="162" spans="1:2" ht="15.75" thickBot="1">
      <c r="A162" s="42" t="s">
        <v>416</v>
      </c>
      <c r="B162" s="43" t="s">
        <v>417</v>
      </c>
    </row>
    <row r="163" spans="1:2" ht="15.75" thickBot="1">
      <c r="A163" s="42" t="s">
        <v>418</v>
      </c>
      <c r="B163" s="43" t="s">
        <v>419</v>
      </c>
    </row>
    <row r="164" spans="1:2" ht="15.75" thickBot="1">
      <c r="A164" s="42" t="s">
        <v>420</v>
      </c>
      <c r="B164" s="43" t="s">
        <v>421</v>
      </c>
    </row>
    <row r="165" spans="1:2" ht="15.75" thickBot="1">
      <c r="A165" s="42" t="s">
        <v>422</v>
      </c>
      <c r="B165" s="43" t="s">
        <v>423</v>
      </c>
    </row>
    <row r="166" spans="1:2" ht="15.75" thickBot="1">
      <c r="A166" s="42" t="s">
        <v>424</v>
      </c>
      <c r="B166" s="43" t="s">
        <v>425</v>
      </c>
    </row>
    <row r="167" spans="1:2" ht="15.75" thickBot="1">
      <c r="A167" s="42" t="s">
        <v>426</v>
      </c>
      <c r="B167" s="43" t="s">
        <v>427</v>
      </c>
    </row>
    <row r="168" spans="1:2" ht="15.75" thickBot="1">
      <c r="A168" s="42" t="s">
        <v>428</v>
      </c>
      <c r="B168" s="43" t="s">
        <v>429</v>
      </c>
    </row>
    <row r="169" spans="1:2" ht="15.75" thickBot="1">
      <c r="A169" s="42" t="s">
        <v>430</v>
      </c>
      <c r="B169" s="43" t="s">
        <v>431</v>
      </c>
    </row>
    <row r="170" spans="1:2" ht="15.75" thickBot="1">
      <c r="A170" s="42" t="s">
        <v>432</v>
      </c>
      <c r="B170" s="43" t="s">
        <v>433</v>
      </c>
    </row>
    <row r="171" spans="1:2" ht="15.75" thickBot="1">
      <c r="A171" s="42" t="s">
        <v>434</v>
      </c>
      <c r="B171" s="43" t="s">
        <v>435</v>
      </c>
    </row>
    <row r="172" spans="1:2" ht="15.75" thickBot="1">
      <c r="A172" s="42" t="s">
        <v>436</v>
      </c>
      <c r="B172" s="43" t="s">
        <v>437</v>
      </c>
    </row>
    <row r="173" spans="1:2" ht="15.75" thickBot="1">
      <c r="A173" s="42" t="s">
        <v>438</v>
      </c>
      <c r="B173" s="43" t="s">
        <v>439</v>
      </c>
    </row>
    <row r="174" spans="1:2" ht="15.75" thickBot="1">
      <c r="A174" s="42" t="s">
        <v>440</v>
      </c>
      <c r="B174" s="43" t="s">
        <v>441</v>
      </c>
    </row>
    <row r="175" spans="1:2" ht="15.75" thickBot="1">
      <c r="A175" s="42" t="s">
        <v>442</v>
      </c>
      <c r="B175" s="43" t="s">
        <v>443</v>
      </c>
    </row>
    <row r="176" spans="1:2" ht="15.75" thickBot="1">
      <c r="A176" s="42" t="s">
        <v>444</v>
      </c>
      <c r="B176" s="43" t="s">
        <v>445</v>
      </c>
    </row>
    <row r="177" spans="1:2" ht="15.75" thickBot="1">
      <c r="A177" s="42" t="s">
        <v>446</v>
      </c>
      <c r="B177" s="43" t="s">
        <v>447</v>
      </c>
    </row>
    <row r="178" spans="1:2" ht="15.75" thickBot="1">
      <c r="A178" s="42" t="s">
        <v>448</v>
      </c>
      <c r="B178" s="43" t="s">
        <v>449</v>
      </c>
    </row>
    <row r="179" spans="1:2" ht="15.75" thickBot="1">
      <c r="A179" s="42" t="s">
        <v>450</v>
      </c>
      <c r="B179" s="43" t="s">
        <v>451</v>
      </c>
    </row>
    <row r="180" spans="1:2" ht="15.75" thickBot="1">
      <c r="A180" s="42" t="s">
        <v>452</v>
      </c>
      <c r="B180" s="43" t="s">
        <v>453</v>
      </c>
    </row>
    <row r="181" spans="1:2" ht="15.75" thickBot="1">
      <c r="A181" s="42" t="s">
        <v>454</v>
      </c>
      <c r="B181" s="43" t="s">
        <v>455</v>
      </c>
    </row>
    <row r="182" spans="1:2" ht="15.75" thickBot="1">
      <c r="A182" s="42" t="s">
        <v>456</v>
      </c>
      <c r="B182" s="43" t="s">
        <v>457</v>
      </c>
    </row>
    <row r="183" spans="1:2" ht="15.75" thickBot="1">
      <c r="A183" s="42" t="s">
        <v>458</v>
      </c>
      <c r="B183" s="43" t="s">
        <v>459</v>
      </c>
    </row>
    <row r="184" spans="1:2" ht="15.75" thickBot="1">
      <c r="A184" s="42" t="s">
        <v>460</v>
      </c>
      <c r="B184" s="43" t="s">
        <v>461</v>
      </c>
    </row>
    <row r="185" spans="1:2" ht="15.75" thickBot="1">
      <c r="A185" s="42" t="s">
        <v>462</v>
      </c>
      <c r="B185" s="43" t="s">
        <v>463</v>
      </c>
    </row>
    <row r="186" spans="1:2" ht="15.75" thickBot="1">
      <c r="A186" s="42" t="s">
        <v>464</v>
      </c>
      <c r="B186" s="43" t="s">
        <v>465</v>
      </c>
    </row>
    <row r="187" spans="1:2" ht="15.75" thickBot="1">
      <c r="A187" s="42" t="s">
        <v>466</v>
      </c>
      <c r="B187" s="43" t="s">
        <v>467</v>
      </c>
    </row>
    <row r="188" spans="1:2" ht="15.75" thickBot="1">
      <c r="A188" s="42" t="s">
        <v>468</v>
      </c>
      <c r="B188" s="43" t="s">
        <v>469</v>
      </c>
    </row>
    <row r="189" spans="1:2" ht="15.75" thickBot="1">
      <c r="A189" s="42" t="s">
        <v>470</v>
      </c>
      <c r="B189" s="43" t="s">
        <v>471</v>
      </c>
    </row>
    <row r="190" spans="1:2" ht="15.75" thickBot="1">
      <c r="A190" s="42" t="s">
        <v>472</v>
      </c>
      <c r="B190" s="43" t="s">
        <v>473</v>
      </c>
    </row>
    <row r="191" spans="1:2" ht="15.75" thickBot="1">
      <c r="A191" s="42" t="s">
        <v>474</v>
      </c>
      <c r="B191" s="43" t="s">
        <v>475</v>
      </c>
    </row>
    <row r="192" spans="1:2" ht="15.75" thickBot="1">
      <c r="A192" s="42" t="s">
        <v>476</v>
      </c>
      <c r="B192" s="43" t="s">
        <v>477</v>
      </c>
    </row>
    <row r="193" spans="1:2" ht="15.75" thickBot="1">
      <c r="A193" s="42" t="s">
        <v>478</v>
      </c>
      <c r="B193" s="43" t="s">
        <v>479</v>
      </c>
    </row>
    <row r="194" spans="1:2" ht="15.75" thickBot="1">
      <c r="A194" s="42" t="s">
        <v>480</v>
      </c>
      <c r="B194" s="43" t="s">
        <v>481</v>
      </c>
    </row>
    <row r="195" spans="1:2" ht="15.75" thickBot="1">
      <c r="A195" s="42" t="s">
        <v>482</v>
      </c>
      <c r="B195" s="43" t="s">
        <v>483</v>
      </c>
    </row>
    <row r="196" spans="1:2" ht="15.75" thickBot="1">
      <c r="A196" s="42" t="s">
        <v>484</v>
      </c>
      <c r="B196" s="43" t="s">
        <v>485</v>
      </c>
    </row>
    <row r="197" spans="1:2" ht="15.75" thickBot="1">
      <c r="A197" s="42" t="s">
        <v>486</v>
      </c>
      <c r="B197" s="43" t="s">
        <v>487</v>
      </c>
    </row>
    <row r="198" spans="1:2" ht="15.75" thickBot="1">
      <c r="A198" s="42" t="s">
        <v>488</v>
      </c>
      <c r="B198" s="43" t="s">
        <v>489</v>
      </c>
    </row>
    <row r="199" spans="1:2" ht="15.75" thickBot="1">
      <c r="A199" s="42" t="s">
        <v>490</v>
      </c>
      <c r="B199" s="43" t="s">
        <v>491</v>
      </c>
    </row>
    <row r="200" spans="1:2" ht="15.75" thickBot="1">
      <c r="A200" s="42" t="s">
        <v>492</v>
      </c>
      <c r="B200" s="43" t="s">
        <v>493</v>
      </c>
    </row>
    <row r="201" spans="1:2" ht="15.75" thickBot="1">
      <c r="A201" s="42" t="s">
        <v>494</v>
      </c>
      <c r="B201" s="43" t="s">
        <v>495</v>
      </c>
    </row>
    <row r="202" spans="1:2" ht="15.75" thickBot="1">
      <c r="A202" s="42" t="s">
        <v>496</v>
      </c>
      <c r="B202" s="43" t="s">
        <v>497</v>
      </c>
    </row>
    <row r="203" spans="1:2" ht="15.75" thickBot="1">
      <c r="A203" s="42" t="s">
        <v>498</v>
      </c>
      <c r="B203" s="43" t="s">
        <v>499</v>
      </c>
    </row>
    <row r="204" spans="1:2" ht="15.75" thickBot="1">
      <c r="A204" s="42" t="s">
        <v>500</v>
      </c>
      <c r="B204" s="43" t="s">
        <v>501</v>
      </c>
    </row>
    <row r="205" spans="1:2" ht="15.75" thickBot="1">
      <c r="A205" s="42" t="s">
        <v>502</v>
      </c>
      <c r="B205" s="43" t="s">
        <v>503</v>
      </c>
    </row>
    <row r="206" spans="1:2" ht="15.75" thickBot="1">
      <c r="A206" s="42" t="s">
        <v>504</v>
      </c>
      <c r="B206" s="43" t="s">
        <v>505</v>
      </c>
    </row>
    <row r="207" spans="1:2" ht="15.75" thickBot="1">
      <c r="A207" s="42" t="s">
        <v>506</v>
      </c>
      <c r="B207" s="43" t="s">
        <v>507</v>
      </c>
    </row>
    <row r="208" spans="1:2" ht="15.75" thickBot="1">
      <c r="A208" s="42" t="s">
        <v>508</v>
      </c>
      <c r="B208" s="43" t="s">
        <v>509</v>
      </c>
    </row>
    <row r="209" spans="1:2" ht="15.75" thickBot="1">
      <c r="A209" s="42" t="s">
        <v>510</v>
      </c>
      <c r="B209" s="43" t="s">
        <v>511</v>
      </c>
    </row>
    <row r="210" spans="1:2" ht="15.75" thickBot="1">
      <c r="A210" s="42" t="s">
        <v>512</v>
      </c>
      <c r="B210" s="43" t="s">
        <v>513</v>
      </c>
    </row>
    <row r="211" spans="1:2" ht="15.75" thickBot="1">
      <c r="A211" s="42" t="s">
        <v>514</v>
      </c>
      <c r="B211" s="43" t="s">
        <v>515</v>
      </c>
    </row>
    <row r="212" spans="1:2" ht="15.75" thickBot="1">
      <c r="A212" s="42" t="s">
        <v>516</v>
      </c>
      <c r="B212" s="43" t="s">
        <v>517</v>
      </c>
    </row>
    <row r="213" spans="1:2" ht="15.75" thickBot="1">
      <c r="A213" s="42" t="s">
        <v>518</v>
      </c>
      <c r="B213" s="43" t="s">
        <v>519</v>
      </c>
    </row>
    <row r="214" spans="1:2" ht="15.75" thickBot="1">
      <c r="A214" s="42" t="s">
        <v>520</v>
      </c>
      <c r="B214" s="43" t="s">
        <v>521</v>
      </c>
    </row>
    <row r="215" spans="1:2" ht="15.75" thickBot="1">
      <c r="A215" s="42" t="s">
        <v>522</v>
      </c>
      <c r="B215" s="43" t="s">
        <v>523</v>
      </c>
    </row>
    <row r="216" spans="1:2" ht="15.75" thickBot="1">
      <c r="A216" s="42" t="s">
        <v>524</v>
      </c>
      <c r="B216" s="43" t="s">
        <v>525</v>
      </c>
    </row>
    <row r="217" spans="1:2" ht="15.75" thickBot="1">
      <c r="A217" s="42" t="s">
        <v>526</v>
      </c>
      <c r="B217" s="43" t="s">
        <v>527</v>
      </c>
    </row>
    <row r="218" spans="1:2" ht="15.75" thickBot="1">
      <c r="A218" s="42" t="s">
        <v>528</v>
      </c>
      <c r="B218" s="43" t="s">
        <v>529</v>
      </c>
    </row>
    <row r="219" spans="1:2" ht="15.75" thickBot="1">
      <c r="A219" s="42" t="s">
        <v>530</v>
      </c>
      <c r="B219" s="43" t="s">
        <v>531</v>
      </c>
    </row>
    <row r="220" spans="1:2" ht="15.75" thickBot="1">
      <c r="A220" s="42" t="s">
        <v>532</v>
      </c>
      <c r="B220" s="43" t="s">
        <v>533</v>
      </c>
    </row>
    <row r="221" spans="1:2" ht="15.75" thickBot="1">
      <c r="A221" s="42" t="s">
        <v>534</v>
      </c>
      <c r="B221" s="43" t="s">
        <v>535</v>
      </c>
    </row>
    <row r="222" spans="1:2" ht="15.75" thickBot="1">
      <c r="A222" s="42" t="s">
        <v>536</v>
      </c>
      <c r="B222" s="43" t="s">
        <v>537</v>
      </c>
    </row>
    <row r="223" spans="1:2" ht="15.75" thickBot="1">
      <c r="A223" s="42" t="s">
        <v>538</v>
      </c>
      <c r="B223" s="43" t="s">
        <v>539</v>
      </c>
    </row>
    <row r="224" spans="1:2" ht="15.75" thickBot="1">
      <c r="A224" s="42" t="s">
        <v>540</v>
      </c>
      <c r="B224" s="43" t="s">
        <v>541</v>
      </c>
    </row>
    <row r="225" spans="1:2" ht="15.75" thickBot="1">
      <c r="A225" s="42" t="s">
        <v>542</v>
      </c>
      <c r="B225" s="43" t="s">
        <v>543</v>
      </c>
    </row>
    <row r="226" spans="1:2" ht="15.75" thickBot="1">
      <c r="A226" s="42" t="s">
        <v>544</v>
      </c>
      <c r="B226" s="43" t="s">
        <v>545</v>
      </c>
    </row>
    <row r="227" spans="1:2" ht="15.75" thickBot="1">
      <c r="A227" s="42" t="s">
        <v>546</v>
      </c>
      <c r="B227" s="43" t="s">
        <v>547</v>
      </c>
    </row>
    <row r="228" spans="1:2" ht="15.75" thickBot="1">
      <c r="A228" s="42" t="s">
        <v>548</v>
      </c>
      <c r="B228" s="43" t="s">
        <v>549</v>
      </c>
    </row>
    <row r="229" spans="1:2" ht="15.75" thickBot="1">
      <c r="A229" s="42" t="s">
        <v>550</v>
      </c>
      <c r="B229" s="43" t="s">
        <v>551</v>
      </c>
    </row>
    <row r="230" spans="1:2" ht="15.75" thickBot="1">
      <c r="A230" s="42" t="s">
        <v>552</v>
      </c>
      <c r="B230" s="43" t="s">
        <v>553</v>
      </c>
    </row>
    <row r="231" spans="1:2" ht="15.75" thickBot="1">
      <c r="A231" s="42" t="s">
        <v>554</v>
      </c>
      <c r="B231" s="43" t="s">
        <v>555</v>
      </c>
    </row>
    <row r="232" spans="1:2" ht="15.75" thickBot="1">
      <c r="A232" s="42" t="s">
        <v>556</v>
      </c>
      <c r="B232" s="43" t="s">
        <v>557</v>
      </c>
    </row>
    <row r="233" spans="1:2" ht="15.75" thickBot="1">
      <c r="A233" s="42" t="s">
        <v>558</v>
      </c>
      <c r="B233" s="43" t="s">
        <v>559</v>
      </c>
    </row>
    <row r="234" spans="1:2" ht="15.75" thickBot="1">
      <c r="A234" s="42" t="s">
        <v>560</v>
      </c>
      <c r="B234" s="43" t="s">
        <v>561</v>
      </c>
    </row>
    <row r="235" spans="1:2" ht="15.75" thickBot="1">
      <c r="A235" s="42" t="s">
        <v>562</v>
      </c>
      <c r="B235" s="43" t="s">
        <v>563</v>
      </c>
    </row>
    <row r="236" spans="1:2" ht="15.75" thickBot="1">
      <c r="A236" s="42" t="s">
        <v>564</v>
      </c>
      <c r="B236" s="43" t="s">
        <v>565</v>
      </c>
    </row>
    <row r="237" spans="1:2" ht="15.75" thickBot="1">
      <c r="A237" s="42" t="s">
        <v>566</v>
      </c>
      <c r="B237" s="43" t="s">
        <v>567</v>
      </c>
    </row>
    <row r="238" spans="1:2" ht="15.75" thickBot="1">
      <c r="A238" s="42" t="s">
        <v>568</v>
      </c>
      <c r="B238" s="43" t="s">
        <v>569</v>
      </c>
    </row>
    <row r="239" spans="1:2" ht="15.75" thickBot="1">
      <c r="A239" s="42" t="s">
        <v>570</v>
      </c>
      <c r="B239" s="43" t="s">
        <v>571</v>
      </c>
    </row>
    <row r="240" spans="1:2" ht="15.75" thickBot="1">
      <c r="A240" s="42" t="s">
        <v>572</v>
      </c>
      <c r="B240" s="43" t="s">
        <v>573</v>
      </c>
    </row>
    <row r="241" spans="1:2" ht="15.75" thickBot="1">
      <c r="A241" s="42" t="s">
        <v>574</v>
      </c>
      <c r="B241" s="43" t="s">
        <v>575</v>
      </c>
    </row>
    <row r="242" spans="1:2" ht="15.75" thickBot="1">
      <c r="A242" s="42" t="s">
        <v>576</v>
      </c>
      <c r="B242" s="43" t="s">
        <v>577</v>
      </c>
    </row>
    <row r="243" spans="1:2" ht="15.75" thickBot="1">
      <c r="A243" s="42" t="s">
        <v>578</v>
      </c>
      <c r="B243" s="43" t="s">
        <v>579</v>
      </c>
    </row>
    <row r="244" spans="1:2" ht="15.75" thickBot="1">
      <c r="A244" s="42" t="s">
        <v>580</v>
      </c>
      <c r="B244" s="43" t="s">
        <v>581</v>
      </c>
    </row>
    <row r="245" spans="1:2" ht="15.75" thickBot="1">
      <c r="A245" s="42" t="s">
        <v>582</v>
      </c>
      <c r="B245" s="43" t="s">
        <v>583</v>
      </c>
    </row>
    <row r="246" spans="1:2" ht="15.75" thickBot="1">
      <c r="A246" s="42" t="s">
        <v>584</v>
      </c>
      <c r="B246" s="43" t="s">
        <v>585</v>
      </c>
    </row>
    <row r="247" spans="1:2" ht="15.75" thickBot="1">
      <c r="A247" s="42" t="s">
        <v>586</v>
      </c>
      <c r="B247" s="43" t="s">
        <v>587</v>
      </c>
    </row>
    <row r="248" spans="1:2" ht="15.75" thickBot="1">
      <c r="A248" s="42" t="s">
        <v>588</v>
      </c>
      <c r="B248" s="43" t="s">
        <v>589</v>
      </c>
    </row>
    <row r="249" spans="1:2" ht="15.75" thickBot="1">
      <c r="A249" s="42" t="s">
        <v>590</v>
      </c>
      <c r="B249" s="43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DS</vt:lpstr>
      <vt:lpstr>SC</vt:lpstr>
      <vt:lpstr>SMI</vt:lpstr>
      <vt:lpstr>HO</vt:lpstr>
      <vt:lpstr>MARKOM</vt:lpstr>
      <vt:lpstr>IN AND OUT</vt:lpstr>
      <vt:lpstr>TRAFFIC &amp; COMMISSION REPORT</vt:lpstr>
      <vt:lpstr>Commission</vt:lpstr>
      <vt:lpstr>SPPR _</vt:lpstr>
      <vt:lpstr>Sales Support</vt:lpstr>
      <vt:lpstr>Data</vt:lpstr>
      <vt:lpstr>DS!Print_Area</vt:lpstr>
      <vt:lpstr>HO!Print_Area</vt:lpstr>
      <vt:lpstr>'IN AND OUT'!Print_Area</vt:lpstr>
      <vt:lpstr>MARKOM!Print_Area</vt:lpstr>
      <vt:lpstr>SC!Print_Area</vt:lpstr>
      <vt:lpstr>SMI!Print_Area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Bvlgari-PI</cp:lastModifiedBy>
  <cp:revision>5164</cp:revision>
  <cp:lastPrinted>2025-07-22T11:58:50Z</cp:lastPrinted>
  <dcterms:created xsi:type="dcterms:W3CDTF">2002-08-22T14:33:00Z</dcterms:created>
  <dcterms:modified xsi:type="dcterms:W3CDTF">2026-09-20T14:28:46Z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:print-date">
    <vt:filetime>2015-10-06T15:07:31Z</vt:filetime>
  </property>
  <property fmtid="{D5CDD505-2E9C-101B-9397-08002B2CF9AE}" pid="3" name="ICV">
    <vt:lpwstr>F9770D183DD74C67818257F65690432A</vt:lpwstr>
  </property>
  <property fmtid="{D5CDD505-2E9C-101B-9397-08002B2CF9AE}" pid="4" name="KSOProductBuildVer">
    <vt:lpwstr>1033-12.2.0.13215</vt:lpwstr>
  </property>
</Properties>
</file>